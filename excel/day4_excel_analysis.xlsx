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ula\Downloads\Data_analytics\"/>
    </mc:Choice>
  </mc:AlternateContent>
  <xr:revisionPtr revIDLastSave="0" documentId="13_ncr:1_{1178E588-A2A9-4721-ABAD-5C24998356CC}" xr6:coauthVersionLast="36" xr6:coauthVersionMax="36" xr10:uidLastSave="{00000000-0000-0000-0000-000000000000}"/>
  <bookViews>
    <workbookView xWindow="0" yWindow="0" windowWidth="23040" windowHeight="8940" activeTab="4" xr2:uid="{20F38977-1E37-4917-A0C3-DF9CF608467D}"/>
  </bookViews>
  <sheets>
    <sheet name="Sheet2" sheetId="2" r:id="rId1"/>
    <sheet name="Sheet3" sheetId="3" r:id="rId2"/>
    <sheet name="Sheet4" sheetId="4" r:id="rId3"/>
    <sheet name="Sheet7" sheetId="7" r:id="rId4"/>
    <sheet name="Sheet1" sheetId="1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01" i="1" l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P15" i="1"/>
  <c r="N15" i="1"/>
  <c r="N14" i="1"/>
  <c r="N13" i="1"/>
  <c r="P12" i="1"/>
  <c r="N12" i="1"/>
  <c r="N11" i="1"/>
  <c r="N10" i="1"/>
  <c r="P9" i="1"/>
  <c r="N9" i="1"/>
  <c r="N8" i="1"/>
  <c r="N7" i="1"/>
  <c r="N6" i="1"/>
  <c r="N5" i="1"/>
  <c r="N4" i="1"/>
  <c r="N3" i="1"/>
  <c r="N2" i="1"/>
  <c r="S9" i="1" s="1"/>
  <c r="S12" i="1" l="1"/>
</calcChain>
</file>

<file path=xl/sharedStrings.xml><?xml version="1.0" encoding="utf-8"?>
<sst xmlns="http://schemas.openxmlformats.org/spreadsheetml/2006/main" count="10058" uniqueCount="1320">
  <si>
    <t>Region</t>
  </si>
  <si>
    <t>Western</t>
  </si>
  <si>
    <t>Francis Amoah</t>
  </si>
  <si>
    <t>Performance Laptop</t>
  </si>
  <si>
    <t>David Kwarteng</t>
  </si>
  <si>
    <t>Akosua Boadu</t>
  </si>
  <si>
    <t>Northern</t>
  </si>
  <si>
    <t>Cynthia Aidoo</t>
  </si>
  <si>
    <t>24-inch Monitor</t>
  </si>
  <si>
    <t>Benjamin Osei</t>
  </si>
  <si>
    <t>Ashanti</t>
  </si>
  <si>
    <t>Office Laptop</t>
  </si>
  <si>
    <t>Akosua Darko</t>
  </si>
  <si>
    <t>Tablet</t>
  </si>
  <si>
    <t>Akua Mensimah</t>
  </si>
  <si>
    <t>Greater Accra</t>
  </si>
  <si>
    <t>Daniel Issah</t>
  </si>
  <si>
    <t>Esther Nyarko</t>
  </si>
  <si>
    <t>Eastern</t>
  </si>
  <si>
    <t>Central</t>
  </si>
  <si>
    <t>Ibrahim Tetteh</t>
  </si>
  <si>
    <t>Kojo Boateng</t>
  </si>
  <si>
    <t>27-inch Monitor</t>
  </si>
  <si>
    <t>Row Labels</t>
  </si>
  <si>
    <t>Grand Total</t>
  </si>
  <si>
    <t>Sum of Revenue</t>
  </si>
  <si>
    <t>Top 5 products</t>
  </si>
  <si>
    <t xml:space="preserve"> </t>
  </si>
  <si>
    <t>Region performance</t>
  </si>
  <si>
    <t>Customer</t>
  </si>
  <si>
    <t>Customer contribution</t>
  </si>
  <si>
    <t>Salesperson performance</t>
  </si>
  <si>
    <t>OrderID</t>
  </si>
  <si>
    <t>OrderDate</t>
  </si>
  <si>
    <t>CustomerID</t>
  </si>
  <si>
    <t>CustomerName</t>
  </si>
  <si>
    <t>Segment</t>
  </si>
  <si>
    <t>ProductID</t>
  </si>
  <si>
    <t>Product</t>
  </si>
  <si>
    <t>Category</t>
  </si>
  <si>
    <t>Quantity</t>
  </si>
  <si>
    <t>UnitPrice</t>
  </si>
  <si>
    <t>SalesPerson</t>
  </si>
  <si>
    <t>PaymentMethod</t>
  </si>
  <si>
    <t>Revenue</t>
  </si>
  <si>
    <t>O00001</t>
  </si>
  <si>
    <t>C100</t>
  </si>
  <si>
    <t>Adwoa Asare</t>
  </si>
  <si>
    <t>Retail</t>
  </si>
  <si>
    <t>P018</t>
  </si>
  <si>
    <t>Ethernet Cable 10m</t>
  </si>
  <si>
    <t>Networking</t>
  </si>
  <si>
    <t>Card</t>
  </si>
  <si>
    <t>O00002</t>
  </si>
  <si>
    <t>C119</t>
  </si>
  <si>
    <t>Kojo Issah</t>
  </si>
  <si>
    <t>P008</t>
  </si>
  <si>
    <t>Computers</t>
  </si>
  <si>
    <t>Mobile Money</t>
  </si>
  <si>
    <t>O00003</t>
  </si>
  <si>
    <t>C023</t>
  </si>
  <si>
    <t>P011</t>
  </si>
  <si>
    <t>Flash Drive 128GB</t>
  </si>
  <si>
    <t>Storage</t>
  </si>
  <si>
    <t>O00004</t>
  </si>
  <si>
    <t>C101</t>
  </si>
  <si>
    <t>Kofi Appiah</t>
  </si>
  <si>
    <t>P004</t>
  </si>
  <si>
    <t>Displays</t>
  </si>
  <si>
    <t>O00005</t>
  </si>
  <si>
    <t>C105</t>
  </si>
  <si>
    <t>Kwame Issah</t>
  </si>
  <si>
    <t>SME</t>
  </si>
  <si>
    <t>P015</t>
  </si>
  <si>
    <t>Bluetooth Speaker</t>
  </si>
  <si>
    <t>Audio</t>
  </si>
  <si>
    <t>O00006</t>
  </si>
  <si>
    <t>C085</t>
  </si>
  <si>
    <t>Ibrahim Mensah</t>
  </si>
  <si>
    <t>P007</t>
  </si>
  <si>
    <t>Bank Transfer</t>
  </si>
  <si>
    <t>O00007</t>
  </si>
  <si>
    <t>C083</t>
  </si>
  <si>
    <t>Samuel Asare</t>
  </si>
  <si>
    <t>P017</t>
  </si>
  <si>
    <t>Network Switch</t>
  </si>
  <si>
    <t>Total card revenue:</t>
  </si>
  <si>
    <t>Total revenue:</t>
  </si>
  <si>
    <t>O00008</t>
  </si>
  <si>
    <t>C015</t>
  </si>
  <si>
    <t>Corporate</t>
  </si>
  <si>
    <t>P009</t>
  </si>
  <si>
    <t>O00009</t>
  </si>
  <si>
    <t>C077</t>
  </si>
  <si>
    <t>Ibrahim Amankwah</t>
  </si>
  <si>
    <t>P014</t>
  </si>
  <si>
    <t>Noise-Cancelling Headset</t>
  </si>
  <si>
    <t>O00010</t>
  </si>
  <si>
    <t>C050</t>
  </si>
  <si>
    <t>Total cash revenue</t>
  </si>
  <si>
    <t>Average order value:</t>
  </si>
  <si>
    <t>O00011</t>
  </si>
  <si>
    <t>C047</t>
  </si>
  <si>
    <t>Daniel Quaye</t>
  </si>
  <si>
    <t>O00012</t>
  </si>
  <si>
    <t>Cash</t>
  </si>
  <si>
    <t>O00013</t>
  </si>
  <si>
    <t>C042</t>
  </si>
  <si>
    <t>Esi Owusu</t>
  </si>
  <si>
    <t>P013</t>
  </si>
  <si>
    <t>Webcam</t>
  </si>
  <si>
    <t>Accessories</t>
  </si>
  <si>
    <t>Total mobile money revenue:</t>
  </si>
  <si>
    <t>O00014</t>
  </si>
  <si>
    <t>C086</t>
  </si>
  <si>
    <t>Kojo Mensah</t>
  </si>
  <si>
    <t>O00015</t>
  </si>
  <si>
    <t>C052</t>
  </si>
  <si>
    <t>Akosua Tetteh</t>
  </si>
  <si>
    <t>O00016</t>
  </si>
  <si>
    <t>O00017</t>
  </si>
  <si>
    <t>C102</t>
  </si>
  <si>
    <t>Grace Amankwah</t>
  </si>
  <si>
    <t>P006</t>
  </si>
  <si>
    <t>Laptop Stand</t>
  </si>
  <si>
    <t>O00018</t>
  </si>
  <si>
    <t>C012</t>
  </si>
  <si>
    <t>Akosua Agyeman</t>
  </si>
  <si>
    <t>O00019</t>
  </si>
  <si>
    <t>C006</t>
  </si>
  <si>
    <t>Priscilla Boadu</t>
  </si>
  <si>
    <t>O00020</t>
  </si>
  <si>
    <t>C114</t>
  </si>
  <si>
    <t>O00021</t>
  </si>
  <si>
    <t>C019</t>
  </si>
  <si>
    <t>Kofi Amankwah</t>
  </si>
  <si>
    <t>P001</t>
  </si>
  <si>
    <t>Wireless Mouse</t>
  </si>
  <si>
    <t>O00022</t>
  </si>
  <si>
    <t>O00023</t>
  </si>
  <si>
    <t>C018</t>
  </si>
  <si>
    <t>Kofi Quaye</t>
  </si>
  <si>
    <t>O00024</t>
  </si>
  <si>
    <t>C097</t>
  </si>
  <si>
    <t>Grace Appiah</t>
  </si>
  <si>
    <t>O00025</t>
  </si>
  <si>
    <t>C115</t>
  </si>
  <si>
    <t>Ama Owusu</t>
  </si>
  <si>
    <t>O00026</t>
  </si>
  <si>
    <t>C108</t>
  </si>
  <si>
    <t>Joseph Boateng</t>
  </si>
  <si>
    <t>O00027</t>
  </si>
  <si>
    <t>C036</t>
  </si>
  <si>
    <t>Kojo Amankwah</t>
  </si>
  <si>
    <t>O00028</t>
  </si>
  <si>
    <t>C041</t>
  </si>
  <si>
    <t>Kwame Sarpong</t>
  </si>
  <si>
    <t>O00029</t>
  </si>
  <si>
    <t>C091</t>
  </si>
  <si>
    <t>Kofi Boadu</t>
  </si>
  <si>
    <t>O00030</t>
  </si>
  <si>
    <t>C054</t>
  </si>
  <si>
    <t>Samuel Darko</t>
  </si>
  <si>
    <t>P002</t>
  </si>
  <si>
    <t>Mechanical Keyboard</t>
  </si>
  <si>
    <t>O00031</t>
  </si>
  <si>
    <t>C110</t>
  </si>
  <si>
    <t>Priscilla Addo</t>
  </si>
  <si>
    <t>O00032</t>
  </si>
  <si>
    <t>O00033</t>
  </si>
  <si>
    <t>C063</t>
  </si>
  <si>
    <t>Kofi Owusu</t>
  </si>
  <si>
    <t>O00034</t>
  </si>
  <si>
    <t>O00035</t>
  </si>
  <si>
    <t>C117</t>
  </si>
  <si>
    <t>Mariam Darko</t>
  </si>
  <si>
    <t>O00036</t>
  </si>
  <si>
    <t>O00037</t>
  </si>
  <si>
    <t>C059</t>
  </si>
  <si>
    <t>Kwame Boateng</t>
  </si>
  <si>
    <t>O00038</t>
  </si>
  <si>
    <t>C033</t>
  </si>
  <si>
    <t>Adwoa Tetteh</t>
  </si>
  <si>
    <t>P003</t>
  </si>
  <si>
    <t>USB-C Hub</t>
  </si>
  <si>
    <t>O00039</t>
  </si>
  <si>
    <t>C029</t>
  </si>
  <si>
    <t>Mariam Issah</t>
  </si>
  <si>
    <t>O00040</t>
  </si>
  <si>
    <t>C026</t>
  </si>
  <si>
    <t>Ibrahim Boateng</t>
  </si>
  <si>
    <t>O00041</t>
  </si>
  <si>
    <t>C073</t>
  </si>
  <si>
    <t>Abena Boateng</t>
  </si>
  <si>
    <t>O00042</t>
  </si>
  <si>
    <t>O00043</t>
  </si>
  <si>
    <t>C051</t>
  </si>
  <si>
    <t>O00044</t>
  </si>
  <si>
    <t>C109</t>
  </si>
  <si>
    <t>Abena Sarpong</t>
  </si>
  <si>
    <t>O00045</t>
  </si>
  <si>
    <t>P012</t>
  </si>
  <si>
    <t>External HDD 2TB</t>
  </si>
  <si>
    <t>O00046</t>
  </si>
  <si>
    <t>C106</t>
  </si>
  <si>
    <t>P016</t>
  </si>
  <si>
    <t>Wi-Fi Router</t>
  </si>
  <si>
    <t>O00047</t>
  </si>
  <si>
    <t>P005</t>
  </si>
  <si>
    <t>O00048</t>
  </si>
  <si>
    <t>C079</t>
  </si>
  <si>
    <t>Samuel Boateng</t>
  </si>
  <si>
    <t>O00049</t>
  </si>
  <si>
    <t>O00050</t>
  </si>
  <si>
    <t>O00051</t>
  </si>
  <si>
    <t>C064</t>
  </si>
  <si>
    <t>O00052</t>
  </si>
  <si>
    <t>O00053</t>
  </si>
  <si>
    <t>C093</t>
  </si>
  <si>
    <t>Mariam Boadu</t>
  </si>
  <si>
    <t>O00054</t>
  </si>
  <si>
    <t>O00055</t>
  </si>
  <si>
    <t>O00056</t>
  </si>
  <si>
    <t>C055</t>
  </si>
  <si>
    <t>Priscilla Amankwah</t>
  </si>
  <si>
    <t>O00057</t>
  </si>
  <si>
    <t>O00058</t>
  </si>
  <si>
    <t>C025</t>
  </si>
  <si>
    <t>Grace Agyeman</t>
  </si>
  <si>
    <t>O00059</t>
  </si>
  <si>
    <t>C013</t>
  </si>
  <si>
    <t>Daniel Boadu</t>
  </si>
  <si>
    <t>O00060</t>
  </si>
  <si>
    <t>O00061</t>
  </si>
  <si>
    <t>C090</t>
  </si>
  <si>
    <t>Kofi Agyeman</t>
  </si>
  <si>
    <t>O00062</t>
  </si>
  <si>
    <t>C074</t>
  </si>
  <si>
    <t>Efua Agyeman</t>
  </si>
  <si>
    <t>P010</t>
  </si>
  <si>
    <t>External SSD 1TB</t>
  </si>
  <si>
    <t>O00063</t>
  </si>
  <si>
    <t>O00064</t>
  </si>
  <si>
    <t>O00065</t>
  </si>
  <si>
    <t>C032</t>
  </si>
  <si>
    <t>Kofi Tetteh</t>
  </si>
  <si>
    <t>O00066</t>
  </si>
  <si>
    <t>O00067</t>
  </si>
  <si>
    <t>C040</t>
  </si>
  <si>
    <t>O00068</t>
  </si>
  <si>
    <t>C034</t>
  </si>
  <si>
    <t>Mariam Agyeman</t>
  </si>
  <si>
    <t>O00069</t>
  </si>
  <si>
    <t>C001</t>
  </si>
  <si>
    <t>Kwame Mensah</t>
  </si>
  <si>
    <t>O00070</t>
  </si>
  <si>
    <t>C030</t>
  </si>
  <si>
    <t>O00071</t>
  </si>
  <si>
    <t>O00072</t>
  </si>
  <si>
    <t>O00073</t>
  </si>
  <si>
    <t>C010</t>
  </si>
  <si>
    <t>Michael Appiah</t>
  </si>
  <si>
    <t>O00074</t>
  </si>
  <si>
    <t>C057</t>
  </si>
  <si>
    <t>Abena Tetteh</t>
  </si>
  <si>
    <t>O00075</t>
  </si>
  <si>
    <t>O00076</t>
  </si>
  <si>
    <t>C078</t>
  </si>
  <si>
    <t>Kofi Asare</t>
  </si>
  <si>
    <t>O00077</t>
  </si>
  <si>
    <t>C098</t>
  </si>
  <si>
    <t>Grace Boadu</t>
  </si>
  <si>
    <t>O00078</t>
  </si>
  <si>
    <t>C118</t>
  </si>
  <si>
    <t>Efua Mensah</t>
  </si>
  <si>
    <t>O00079</t>
  </si>
  <si>
    <t>Unknown</t>
  </si>
  <si>
    <t>O00080</t>
  </si>
  <si>
    <t>O00081</t>
  </si>
  <si>
    <t>O00082</t>
  </si>
  <si>
    <t>O00083</t>
  </si>
  <si>
    <t>C053</t>
  </si>
  <si>
    <t>Ibrahim Quaye</t>
  </si>
  <si>
    <t>O00084</t>
  </si>
  <si>
    <t>O00085</t>
  </si>
  <si>
    <t>C113</t>
  </si>
  <si>
    <t>O00086</t>
  </si>
  <si>
    <t>O00087</t>
  </si>
  <si>
    <t>C060</t>
  </si>
  <si>
    <t>Esi Mensah</t>
  </si>
  <si>
    <t>O00088</t>
  </si>
  <si>
    <t>C066</t>
  </si>
  <si>
    <t>O00089</t>
  </si>
  <si>
    <t>C071</t>
  </si>
  <si>
    <t>O00090</t>
  </si>
  <si>
    <t>C111</t>
  </si>
  <si>
    <t>Akosua Sarpong</t>
  </si>
  <si>
    <t>O00091</t>
  </si>
  <si>
    <t>O00092</t>
  </si>
  <si>
    <t>O00093</t>
  </si>
  <si>
    <t>O00094</t>
  </si>
  <si>
    <t>O00095</t>
  </si>
  <si>
    <t>O00096</t>
  </si>
  <si>
    <t>C112</t>
  </si>
  <si>
    <t>O00097</t>
  </si>
  <si>
    <t>C002</t>
  </si>
  <si>
    <t>Kofi Boateng</t>
  </si>
  <si>
    <t>O00098</t>
  </si>
  <si>
    <t>O00099</t>
  </si>
  <si>
    <t>O00100</t>
  </si>
  <si>
    <t>C081</t>
  </si>
  <si>
    <t>Adwoa Issah</t>
  </si>
  <si>
    <t>O00101</t>
  </si>
  <si>
    <t>O00102</t>
  </si>
  <si>
    <t>O00103</t>
  </si>
  <si>
    <t>O00104</t>
  </si>
  <si>
    <t>C068</t>
  </si>
  <si>
    <t>Kwame Owusu</t>
  </si>
  <si>
    <t>O00105</t>
  </si>
  <si>
    <t>C011</t>
  </si>
  <si>
    <t>Abena Quaye</t>
  </si>
  <si>
    <t>O00106</t>
  </si>
  <si>
    <t>O00107</t>
  </si>
  <si>
    <t>C116</t>
  </si>
  <si>
    <t>Efua Darko</t>
  </si>
  <si>
    <t>O00108</t>
  </si>
  <si>
    <t>O00109</t>
  </si>
  <si>
    <t>O00110</t>
  </si>
  <si>
    <t>C049</t>
  </si>
  <si>
    <t>Esi Addo</t>
  </si>
  <si>
    <t>O00111</t>
  </si>
  <si>
    <t>O00112</t>
  </si>
  <si>
    <t>C107</t>
  </si>
  <si>
    <t>Ibrahim Asare</t>
  </si>
  <si>
    <t>O00113</t>
  </si>
  <si>
    <t>C082</t>
  </si>
  <si>
    <t>Michael Tetteh</t>
  </si>
  <si>
    <t>O00114</t>
  </si>
  <si>
    <t>O00115</t>
  </si>
  <si>
    <t>C094</t>
  </si>
  <si>
    <t>Adwoa Boateng</t>
  </si>
  <si>
    <t>O00116</t>
  </si>
  <si>
    <t>O00117</t>
  </si>
  <si>
    <t>O00118</t>
  </si>
  <si>
    <t>C103</t>
  </si>
  <si>
    <t>Nana Boadu</t>
  </si>
  <si>
    <t>O00119</t>
  </si>
  <si>
    <t>O00120</t>
  </si>
  <si>
    <t>C069</t>
  </si>
  <si>
    <t>Daniel Agyeman</t>
  </si>
  <si>
    <t>O00121</t>
  </si>
  <si>
    <t>O00122</t>
  </si>
  <si>
    <t>O00123</t>
  </si>
  <si>
    <t>C084</t>
  </si>
  <si>
    <t>Abena Mensah</t>
  </si>
  <si>
    <t>O00124</t>
  </si>
  <si>
    <t>O00125</t>
  </si>
  <si>
    <t>C048</t>
  </si>
  <si>
    <t>Priscilla Issah</t>
  </si>
  <si>
    <t>O00126</t>
  </si>
  <si>
    <t>O00127</t>
  </si>
  <si>
    <t>C028</t>
  </si>
  <si>
    <t>Linda Ofori</t>
  </si>
  <si>
    <t>O00128</t>
  </si>
  <si>
    <t>C070</t>
  </si>
  <si>
    <t>Kojo Sarpong</t>
  </si>
  <si>
    <t>O00129</t>
  </si>
  <si>
    <t>O00130</t>
  </si>
  <si>
    <t>O00131</t>
  </si>
  <si>
    <t>C076</t>
  </si>
  <si>
    <t>Ibrahim Owusu</t>
  </si>
  <si>
    <t>O00132</t>
  </si>
  <si>
    <t>O00133</t>
  </si>
  <si>
    <t>C017</t>
  </si>
  <si>
    <t>O00134</t>
  </si>
  <si>
    <t>C003</t>
  </si>
  <si>
    <t>O00135</t>
  </si>
  <si>
    <t>C096</t>
  </si>
  <si>
    <t>Efua Sarpong</t>
  </si>
  <si>
    <t>O00136</t>
  </si>
  <si>
    <t>C058</t>
  </si>
  <si>
    <t>Daniel Addo</t>
  </si>
  <si>
    <t>O00137</t>
  </si>
  <si>
    <t>O00138</t>
  </si>
  <si>
    <t>O00139</t>
  </si>
  <si>
    <t>C009</t>
  </si>
  <si>
    <t>Mariam Ofori</t>
  </si>
  <si>
    <t>O00140</t>
  </si>
  <si>
    <t>O00141</t>
  </si>
  <si>
    <t>O00142</t>
  </si>
  <si>
    <t>C056</t>
  </si>
  <si>
    <t>Abena Issah</t>
  </si>
  <si>
    <t>O00143</t>
  </si>
  <si>
    <t>O00144</t>
  </si>
  <si>
    <t>C088</t>
  </si>
  <si>
    <t>Kojo Darko</t>
  </si>
  <si>
    <t>O00145</t>
  </si>
  <si>
    <t>O00146</t>
  </si>
  <si>
    <t>O00147</t>
  </si>
  <si>
    <t>C037</t>
  </si>
  <si>
    <t>Yaw Quaye</t>
  </si>
  <si>
    <t>O00148</t>
  </si>
  <si>
    <t>O00149</t>
  </si>
  <si>
    <t>O00150</t>
  </si>
  <si>
    <t>O00151</t>
  </si>
  <si>
    <t>O00152</t>
  </si>
  <si>
    <t>C095</t>
  </si>
  <si>
    <t>Esi Boateng</t>
  </si>
  <si>
    <t>O00153</t>
  </si>
  <si>
    <t>O00154</t>
  </si>
  <si>
    <t>O00155</t>
  </si>
  <si>
    <t>C035</t>
  </si>
  <si>
    <t>O00156</t>
  </si>
  <si>
    <t>O00157</t>
  </si>
  <si>
    <t>O00158</t>
  </si>
  <si>
    <t>O00159</t>
  </si>
  <si>
    <t>C038</t>
  </si>
  <si>
    <t>Joseph Owusu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</si>
  <si>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</si>
  <si>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</si>
  <si>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</si>
  <si>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</si>
  <si>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</si>
  <si>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</si>
  <si>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</si>
  <si>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</si>
  <si>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</si>
  <si>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C031</t>
  </si>
  <si>
    <t>Grace Asare</t>
  </si>
  <si>
    <t>O00169</t>
  </si>
  <si>
    <t>O00170</t>
  </si>
  <si>
    <t>O00171</t>
  </si>
  <si>
    <t>O00172</t>
  </si>
  <si>
    <t>C046</t>
  </si>
  <si>
    <t>O00173</t>
  </si>
  <si>
    <t>O00174</t>
  </si>
  <si>
    <t>O00175</t>
  </si>
  <si>
    <t>O00176</t>
  </si>
  <si>
    <t>C104</t>
  </si>
  <si>
    <t>Ama Sarpong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</si>
  <si>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</si>
  <si>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</si>
  <si>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</si>
  <si>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</si>
  <si>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</si>
  <si>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</si>
  <si>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</si>
  <si>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</si>
  <si>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</si>
  <si>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</si>
  <si>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</si>
  <si>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C020</t>
  </si>
  <si>
    <t>Adwoa Addo</t>
  </si>
  <si>
    <t>O00188</t>
  </si>
  <si>
    <t>O00189</t>
  </si>
  <si>
    <t>O00190</t>
  </si>
  <si>
    <t>O00191</t>
  </si>
  <si>
    <t>C021</t>
  </si>
  <si>
    <t>Yaw Appiah</t>
  </si>
  <si>
    <t>O00192</t>
  </si>
  <si>
    <t>O00193</t>
  </si>
  <si>
    <t>O00194</t>
  </si>
  <si>
    <t>O00195</t>
  </si>
  <si>
    <t>C007</t>
  </si>
  <si>
    <t>O00196</t>
  </si>
  <si>
    <t>O00197</t>
  </si>
  <si>
    <t>C005</t>
  </si>
  <si>
    <t>O00198</t>
  </si>
  <si>
    <t>O00199</t>
  </si>
  <si>
    <t>O00200</t>
  </si>
  <si>
    <t>C016</t>
  </si>
  <si>
    <t>Joseph Issah</t>
  </si>
  <si>
    <t>O00201</t>
  </si>
  <si>
    <t>O00202</t>
  </si>
  <si>
    <t>C092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</si>
  <si>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</si>
  <si>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</si>
  <si>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</si>
  <si>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</si>
  <si>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</si>
  <si>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</si>
  <si>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</si>
  <si>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</si>
  <si>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C120</t>
  </si>
  <si>
    <t>Kofi Sarpong</t>
  </si>
  <si>
    <t>O00211</t>
  </si>
  <si>
    <t>O00212</t>
  </si>
  <si>
    <t>O00213</t>
  </si>
  <si>
    <t>O00214</t>
  </si>
  <si>
    <t>O00215</t>
  </si>
  <si>
    <t>O00216</t>
  </si>
  <si>
    <t>O00217</t>
  </si>
  <si>
    <t>C045</t>
  </si>
  <si>
    <t>Kwame Amankwah</t>
  </si>
  <si>
    <t>O00218</t>
  </si>
  <si>
    <t>O00219</t>
  </si>
  <si>
    <t>C004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</si>
  <si>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</si>
  <si>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</si>
  <si>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</si>
  <si>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</si>
  <si>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</si>
  <si>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</si>
  <si>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</si>
  <si>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</si>
  <si>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</si>
  <si>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</si>
  <si>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</si>
  <si>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</si>
  <si>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</si>
  <si>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C099</t>
  </si>
  <si>
    <t>O00233</t>
  </si>
  <si>
    <t>O00234</t>
  </si>
  <si>
    <t>O00235</t>
  </si>
  <si>
    <t>C039</t>
  </si>
  <si>
    <t>Joseph Addo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</si>
  <si>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</si>
  <si>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</si>
  <si>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</si>
  <si>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</si>
  <si>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</si>
  <si>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</si>
  <si>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</si>
  <si>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</si>
  <si>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C044</t>
  </si>
  <si>
    <t>Adwoa Darko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</si>
  <si>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</si>
  <si>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</si>
  <si>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</si>
  <si>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</si>
  <si>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</si>
  <si>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</si>
  <si>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</si>
  <si>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</si>
  <si>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</si>
  <si>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</si>
  <si>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</si>
  <si>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</si>
  <si>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C072</t>
  </si>
  <si>
    <t>Esi Quaye</t>
  </si>
  <si>
    <t>O00256</t>
  </si>
  <si>
    <t>C065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</si>
  <si>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</si>
  <si>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</si>
  <si>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</si>
  <si>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</si>
  <si>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</si>
  <si>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</si>
  <si>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</si>
  <si>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</si>
  <si>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</si>
  <si>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</si>
  <si>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</si>
  <si>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</si>
  <si>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</si>
  <si>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</si>
  <si>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</si>
  <si>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</si>
  <si>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</si>
  <si>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</si>
  <si>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</si>
  <si>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C043</t>
  </si>
  <si>
    <t>Yaw Addo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</si>
  <si>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</si>
  <si>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</si>
  <si>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</si>
  <si>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</si>
  <si>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</si>
  <si>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</si>
  <si>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</si>
  <si>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</si>
  <si>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</si>
  <si>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</si>
  <si>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C024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</si>
  <si>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</si>
  <si>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</si>
  <si>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</si>
  <si>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</si>
  <si>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</si>
  <si>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</si>
  <si>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</si>
  <si>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</si>
  <si>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C008</t>
  </si>
  <si>
    <t>Ibrahim Agyeman</t>
  </si>
  <si>
    <t>O00294</t>
  </si>
  <si>
    <t>C022</t>
  </si>
  <si>
    <t>O00295</t>
  </si>
  <si>
    <t>O00296</t>
  </si>
  <si>
    <t>O00297</t>
  </si>
  <si>
    <t>C087</t>
  </si>
  <si>
    <t>O00298</t>
  </si>
  <si>
    <t>C075</t>
  </si>
  <si>
    <t>Grace Boateng</t>
  </si>
  <si>
    <t>O00299</t>
  </si>
  <si>
    <t>O00300</t>
  </si>
  <si>
    <t xml:space="preserve"> Akosua Darko 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</si>
  <si>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</si>
  <si>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</si>
  <si>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</si>
  <si>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</si>
  <si>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</si>
  <si>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</si>
  <si>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</si>
  <si>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</si>
  <si>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</si>
  <si>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</si>
  <si>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</si>
  <si>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</si>
  <si>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</si>
  <si>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</si>
  <si>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</si>
  <si>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</si>
  <si>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</si>
  <si>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</si>
  <si>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</si>
  <si>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C062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</si>
  <si>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</si>
  <si>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</si>
  <si>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</si>
  <si>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</si>
  <si>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</si>
  <si>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</si>
  <si>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</si>
  <si>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</si>
  <si>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</si>
  <si>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</si>
  <si>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</si>
  <si>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</si>
  <si>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</si>
  <si>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</si>
  <si>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</si>
  <si>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</si>
  <si>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</si>
  <si>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</si>
  <si>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</si>
  <si>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</si>
  <si>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</si>
  <si>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</si>
  <si>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</si>
  <si>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C027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</si>
  <si>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</si>
  <si>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</si>
  <si>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</si>
  <si>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</si>
  <si>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</si>
  <si>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</si>
  <si>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</si>
  <si>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</si>
  <si>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</si>
  <si>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</si>
  <si>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</si>
  <si>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</si>
  <si>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</si>
  <si>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</si>
  <si>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</si>
  <si>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</si>
  <si>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</si>
  <si>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</si>
  <si>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</si>
  <si>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</si>
  <si>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</si>
  <si>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</si>
  <si>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</si>
  <si>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</si>
  <si>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</si>
  <si>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</si>
  <si>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</si>
  <si>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C014</t>
  </si>
  <si>
    <t>Grace Darko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</si>
  <si>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</si>
  <si>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</si>
  <si>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</si>
  <si>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</si>
  <si>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</si>
  <si>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</si>
  <si>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</si>
  <si>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</si>
  <si>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 xml:space="preserve"> Priscilla Issah 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</si>
  <si>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</si>
  <si>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</si>
  <si>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</si>
  <si>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</si>
  <si>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</si>
  <si>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</si>
  <si>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</si>
  <si>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</si>
  <si>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</si>
  <si>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</si>
  <si>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</si>
  <si>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</si>
  <si>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</si>
  <si>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</si>
  <si>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</si>
  <si>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</si>
  <si>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</si>
  <si>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</si>
  <si>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</si>
  <si>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</si>
  <si>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</si>
  <si>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</si>
  <si>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</si>
  <si>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</si>
  <si>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</si>
  <si>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</si>
  <si>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</si>
  <si>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</si>
  <si>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</si>
  <si>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</si>
  <si>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</si>
  <si>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</si>
  <si>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</si>
  <si>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</si>
  <si>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</si>
  <si>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</si>
  <si>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</si>
  <si>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</si>
  <si>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</si>
  <si>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</si>
  <si>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</si>
  <si>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</si>
  <si>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</si>
  <si>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</si>
  <si>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</si>
  <si>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</si>
  <si>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</si>
  <si>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</si>
  <si>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</si>
  <si>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</si>
  <si>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</si>
  <si>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</si>
  <si>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</si>
  <si>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</si>
  <si>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</si>
  <si>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</si>
  <si>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</si>
  <si>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</si>
  <si>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</si>
  <si>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</si>
  <si>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</si>
  <si>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</si>
  <si>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</si>
  <si>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C061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</si>
  <si>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</si>
  <si>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</si>
  <si>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</si>
  <si>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</si>
  <si>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</si>
  <si>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</si>
  <si>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</si>
  <si>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</si>
  <si>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</si>
  <si>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</si>
  <si>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</si>
  <si>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</si>
  <si>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</si>
  <si>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</si>
  <si>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</si>
  <si>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</si>
  <si>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</si>
  <si>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</si>
  <si>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</si>
  <si>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</si>
  <si>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</si>
  <si>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</si>
  <si>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</si>
  <si>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 xml:space="preserve"> Efua Mensah 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</si>
  <si>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</si>
  <si>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</si>
  <si>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</si>
  <si>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</si>
  <si>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</si>
  <si>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</si>
  <si>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</si>
  <si>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</si>
  <si>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</si>
  <si>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</si>
  <si>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</si>
  <si>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</si>
  <si>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</si>
  <si>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</si>
  <si>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</si>
  <si>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</si>
  <si>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</si>
  <si>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</si>
  <si>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</si>
  <si>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</si>
  <si>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</si>
  <si>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</si>
  <si>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</si>
  <si>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</si>
  <si>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</si>
  <si>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</si>
  <si>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</si>
  <si>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</si>
  <si>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</si>
  <si>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</si>
  <si>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</si>
  <si>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</si>
  <si>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</si>
  <si>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</si>
  <si>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</si>
  <si>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</si>
  <si>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</si>
  <si>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</si>
  <si>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</si>
  <si>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</si>
  <si>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</si>
  <si>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</si>
  <si>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</si>
  <si>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</si>
  <si>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</si>
  <si>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</si>
  <si>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</si>
  <si>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</si>
  <si>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</si>
  <si>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</si>
  <si>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</si>
  <si>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</si>
  <si>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</si>
  <si>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</si>
  <si>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</si>
  <si>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</si>
  <si>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</si>
  <si>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</si>
  <si>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</si>
  <si>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</si>
  <si>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</si>
  <si>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</si>
  <si>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</si>
  <si>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</si>
  <si>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</si>
  <si>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</si>
  <si>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</si>
  <si>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</si>
  <si>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</si>
  <si>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</si>
  <si>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</si>
  <si>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</si>
  <si>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</si>
  <si>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</si>
  <si>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</si>
  <si>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C067</t>
  </si>
  <si>
    <t>Samuel Quaye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</si>
  <si>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</si>
  <si>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</si>
  <si>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</si>
  <si>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</si>
  <si>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</si>
  <si>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</si>
  <si>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</si>
  <si>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</si>
  <si>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 xml:space="preserve"> Akosua Sarpong 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</si>
  <si>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</si>
  <si>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</si>
  <si>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</si>
  <si>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</si>
  <si>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</si>
  <si>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</si>
  <si>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</si>
  <si>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</si>
  <si>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</si>
  <si>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</si>
  <si>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</si>
  <si>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</si>
  <si>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</si>
  <si>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</si>
  <si>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</si>
  <si>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</si>
  <si>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</si>
  <si>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</si>
  <si>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</si>
  <si>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</si>
  <si>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</si>
  <si>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C089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</si>
  <si>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</si>
  <si>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</si>
  <si>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</si>
  <si>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</si>
  <si>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</si>
  <si>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</si>
  <si>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</si>
  <si>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</si>
  <si>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</si>
  <si>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</si>
  <si>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</si>
  <si>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</si>
  <si>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</si>
  <si>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</si>
  <si>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</si>
  <si>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</si>
  <si>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</si>
  <si>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</si>
  <si>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</si>
  <si>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</si>
  <si>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</si>
  <si>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</si>
  <si>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</si>
  <si>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</si>
  <si>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</si>
  <si>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</si>
  <si>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</si>
  <si>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</si>
  <si>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</si>
  <si>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</si>
  <si>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</si>
  <si>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</si>
  <si>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</si>
  <si>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</si>
  <si>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</si>
  <si>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</si>
  <si>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</si>
  <si>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</si>
  <si>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</si>
  <si>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</si>
  <si>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</si>
  <si>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</si>
  <si>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</si>
  <si>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</si>
  <si>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</si>
  <si>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</si>
  <si>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</si>
  <si>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</si>
  <si>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</si>
  <si>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</si>
  <si>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</si>
  <si>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</si>
  <si>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</si>
  <si>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</si>
  <si>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</si>
  <si>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</si>
  <si>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</si>
  <si>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</si>
  <si>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</si>
  <si>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</si>
  <si>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</si>
  <si>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</si>
  <si>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</si>
  <si>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</si>
  <si>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</si>
  <si>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</si>
  <si>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</si>
  <si>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</si>
  <si>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</si>
  <si>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 xml:space="preserve"> Priscilla Boadu </t>
  </si>
  <si>
    <t>O00637</t>
  </si>
  <si>
    <t>O00638</t>
  </si>
  <si>
    <t>O00639</t>
  </si>
  <si>
    <t>O00640</t>
  </si>
  <si>
    <t>O00641</t>
  </si>
  <si>
    <t>O00642</t>
  </si>
  <si>
    <t>C080</t>
  </si>
  <si>
    <t>Yaw Agyeman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</si>
  <si>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</si>
  <si>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</si>
  <si>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</si>
  <si>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</si>
  <si>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</si>
  <si>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</si>
  <si>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</si>
  <si>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</si>
  <si>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</si>
  <si>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</si>
  <si>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</si>
  <si>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</si>
  <si>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</si>
  <si>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</si>
  <si>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</si>
  <si>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</si>
  <si>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</si>
  <si>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</si>
  <si>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</si>
  <si>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</si>
  <si>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</si>
  <si>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</si>
  <si>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</si>
  <si>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</si>
  <si>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</si>
  <si>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</si>
  <si>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</si>
  <si>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</si>
  <si>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</si>
  <si>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</si>
  <si>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</si>
  <si>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</si>
  <si>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</si>
  <si>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</si>
  <si>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</si>
  <si>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</si>
  <si>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</si>
  <si>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</si>
  <si>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</si>
  <si>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</si>
  <si>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</si>
  <si>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</si>
  <si>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</si>
  <si>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</si>
  <si>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</si>
  <si>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</si>
  <si>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</si>
  <si>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</si>
  <si>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 xml:space="preserve"> Yaw Appiah </t>
  </si>
  <si>
    <t>O00691</t>
  </si>
  <si>
    <t>O00692</t>
  </si>
  <si>
    <t>O00693</t>
  </si>
  <si>
    <t>O00694</t>
  </si>
  <si>
    <t>O00695</t>
  </si>
  <si>
    <t xml:space="preserve"> Adwoa Darko 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</si>
  <si>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</si>
  <si>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</si>
  <si>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</si>
  <si>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</si>
  <si>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</si>
  <si>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</si>
  <si>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</si>
  <si>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</si>
  <si>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</si>
  <si>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</si>
  <si>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</si>
  <si>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</si>
  <si>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</si>
  <si>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</si>
  <si>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</si>
  <si>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 xml:space="preserve"> Esi Addo 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</si>
  <si>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</si>
  <si>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</si>
  <si>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</si>
  <si>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</si>
  <si>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</si>
  <si>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</si>
  <si>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</si>
  <si>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</si>
  <si>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</si>
  <si>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</si>
  <si>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</si>
  <si>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</si>
  <si>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</si>
  <si>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</si>
  <si>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</si>
  <si>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</si>
  <si>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</si>
  <si>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 xml:space="preserve"> Ibrahim Tetteh 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</si>
  <si>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</si>
  <si>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</si>
  <si>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</si>
  <si>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</si>
  <si>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</si>
  <si>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</si>
  <si>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</si>
  <si>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</si>
  <si>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</si>
  <si>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</si>
  <si>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</si>
  <si>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</si>
  <si>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</si>
  <si>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</si>
  <si>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</si>
  <si>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</si>
  <si>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</si>
  <si>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</si>
  <si>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</si>
  <si>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</si>
  <si>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</si>
  <si>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</si>
  <si>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</si>
  <si>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</si>
  <si>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</si>
  <si>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</si>
  <si>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</si>
  <si>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</si>
  <si>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</si>
  <si>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</si>
  <si>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</si>
  <si>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</si>
  <si>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</si>
  <si>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</si>
  <si>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</si>
  <si>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</si>
  <si>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</si>
  <si>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</si>
  <si>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</si>
  <si>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</si>
  <si>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</si>
  <si>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</si>
  <si>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</si>
  <si>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</si>
  <si>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</si>
  <si>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</si>
  <si>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</si>
  <si>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</si>
  <si>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</si>
  <si>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</si>
  <si>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</si>
  <si>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</si>
  <si>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</si>
  <si>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</si>
  <si>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</si>
  <si>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</si>
  <si>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</si>
  <si>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</si>
  <si>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</si>
  <si>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</si>
  <si>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</si>
  <si>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</si>
  <si>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</si>
  <si>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</si>
  <si>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</si>
  <si>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</si>
  <si>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</si>
  <si>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</si>
  <si>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</si>
  <si>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</si>
  <si>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</si>
  <si>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</si>
  <si>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</si>
  <si>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</si>
  <si>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</si>
  <si>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</si>
  <si>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</si>
  <si>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</si>
  <si>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</si>
  <si>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</si>
  <si>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</si>
  <si>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</si>
  <si>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</si>
  <si>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</si>
  <si>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</si>
  <si>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</si>
  <si>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</si>
  <si>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</si>
  <si>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</si>
  <si>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</si>
  <si>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</si>
  <si>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</si>
  <si>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</si>
  <si>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 xml:space="preserve"> Abena Issah 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</si>
  <si>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</si>
  <si>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</si>
  <si>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</si>
  <si>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</si>
  <si>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</si>
  <si>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</si>
  <si>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</si>
  <si>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</si>
  <si>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</si>
  <si>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 xml:space="preserve"> Akosua Boadu 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</si>
  <si>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</si>
  <si>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</si>
  <si>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</si>
  <si>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</si>
  <si>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</si>
  <si>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</si>
  <si>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</si>
  <si>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</si>
  <si>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</si>
  <si>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</si>
  <si>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</si>
  <si>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</si>
  <si>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</si>
  <si>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</si>
  <si>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</si>
  <si>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</si>
  <si>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</si>
  <si>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 xml:space="preserve"> Kofi Tetteh 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</si>
  <si>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</si>
  <si>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</si>
  <si>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</si>
  <si>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</si>
  <si>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</si>
  <si>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</si>
  <si>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</si>
  <si>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</si>
  <si>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</si>
  <si>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</si>
  <si>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</si>
  <si>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</si>
  <si>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</si>
  <si>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</si>
  <si>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</si>
  <si>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</si>
  <si>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</si>
  <si>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</si>
  <si>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</si>
  <si>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</si>
  <si>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</si>
  <si>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</si>
  <si>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</si>
  <si>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</si>
  <si>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</si>
  <si>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</si>
  <si>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</si>
  <si>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</si>
  <si>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</si>
  <si>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</si>
  <si>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</si>
  <si>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</si>
  <si>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</si>
  <si>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</si>
  <si>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</si>
  <si>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</si>
  <si>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</si>
  <si>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</si>
  <si>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</si>
  <si>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</si>
  <si>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</si>
  <si>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</si>
  <si>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</si>
  <si>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</si>
  <si>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</si>
  <si>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</si>
  <si>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</si>
  <si>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</si>
  <si>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</si>
  <si>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</si>
  <si>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</si>
  <si>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</si>
  <si>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</si>
  <si>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</si>
  <si>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</si>
  <si>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</si>
  <si>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</si>
  <si>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</si>
  <si>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</si>
  <si>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 xml:space="preserve"> Joseph Boateng 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</si>
  <si>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</si>
  <si>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</si>
  <si>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</si>
  <si>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</si>
  <si>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</si>
  <si>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</si>
  <si>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</si>
  <si>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</si>
  <si>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</si>
  <si>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</si>
  <si>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</si>
  <si>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</si>
  <si>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</si>
  <si>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</si>
  <si>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</si>
  <si>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</si>
  <si>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</si>
  <si>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</si>
  <si>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</si>
  <si>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</si>
  <si>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</si>
  <si>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</si>
  <si>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</si>
  <si>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</si>
  <si>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</si>
  <si>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</si>
  <si>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</si>
  <si>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</si>
  <si>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</si>
  <si>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</si>
  <si>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</si>
  <si>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</si>
  <si>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</si>
  <si>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</si>
  <si>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</si>
  <si>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</si>
  <si>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</si>
  <si>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</si>
  <si>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</si>
  <si>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</si>
  <si>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</si>
  <si>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</si>
  <si>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</si>
  <si>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</si>
  <si>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</si>
  <si>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</si>
  <si>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</si>
  <si>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</si>
  <si>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</si>
  <si>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</si>
  <si>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</si>
  <si>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</si>
  <si>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</si>
  <si>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</si>
  <si>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</si>
  <si>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</si>
  <si>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</si>
  <si>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</si>
  <si>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</si>
  <si>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 xml:space="preserve"> Kwame Mensah </t>
  </si>
  <si>
    <t>O00965</t>
  </si>
  <si>
    <t>O00966</t>
  </si>
  <si>
    <t>O00967</t>
  </si>
  <si>
    <t>O00968</t>
  </si>
  <si>
    <t>O00969</t>
  </si>
  <si>
    <t xml:space="preserve"> Ibrahim Amankwah 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</si>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</sst>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[day4_excel_analysis.xlsx]Sheet2!PivotTable1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Performance Laptop</c:v>
                </c:pt>
                <c:pt idx="1">
                  <c:v>Office Laptop</c:v>
                </c:pt>
                <c:pt idx="2">
                  <c:v>27-inch Monitor</c:v>
                </c:pt>
                <c:pt idx="3">
                  <c:v>Tablet</c:v>
                </c:pt>
                <c:pt idx="4">
                  <c:v>24-inch Monitor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1052880</c:v>
                </c:pt>
                <c:pt idx="1">
                  <c:v>769860</c:v>
                </c:pt>
                <c:pt idx="2">
                  <c:v>347160</c:v>
                </c:pt>
                <c:pt idx="3">
                  <c:v>341310</c:v>
                </c:pt>
                <c:pt idx="4">
                  <c:v>242295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0-43F3-922F-C9584EDF2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983504"/>
        <c:axId val="1085316576"/>
      </c:barChart>
      <c:catAx>
        <c:axId val="4839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85316576"/>
        <c:crosses val="autoZero"/>
        <c:auto val="1"/>
        <c:lblAlgn val="ctr"/>
        <c:lblOffset val="100"/>
        <c:noMultiLvlLbl val="0"/>
      </c:catAx>
      <c:valAx>
        <c:axId val="108531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48398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[day4_excel_analysis.xlsx]Sheet3!PivotTable2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Sheet3!$A$4:$A$10</c:f>
              <c:strCache>
                <c:ptCount val="6"/>
                <c:pt idx="0">
                  <c:v>Greater Accra</c:v>
                </c:pt>
                <c:pt idx="1">
                  <c:v>Western</c:v>
                </c:pt>
                <c:pt idx="2">
                  <c:v>Northern</c:v>
                </c:pt>
                <c:pt idx="3">
                  <c:v>Eastern</c:v>
                </c:pt>
                <c:pt idx="4">
                  <c:v>Central</c:v>
                </c:pt>
                <c:pt idx="5">
                  <c:v>Ashanti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778855</c:v>
                </c:pt>
                <c:pt idx="1">
                  <c:v>683330.75</c:v>
                </c:pt>
                <c:pt idx="2">
                  <c:v>566091.5</c:v>
                </c:pt>
                <c:pt idx="3">
                  <c:v>494409.25</c:v>
                </c:pt>
                <c:pt idx="4">
                  <c:v>493562.5</c:v>
                </c:pt>
                <c:pt idx="5">
                  <c:v>434867.75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5-4719-A090-780FFF02F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1191264"/>
        <c:axId val="478634976"/>
        <c:axId val="0"/>
      </c:bar3DChart>
      <c:catAx>
        <c:axId val="48119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478634976"/>
        <c:crosses val="autoZero"/>
        <c:auto val="1"/>
        <c:lblAlgn val="ctr"/>
        <c:lblOffset val="100"/>
        <c:noMultiLvlLbl val="0"/>
      </c:catAx>
      <c:valAx>
        <c:axId val="47863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4811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[day4_excel_analysis.xlsx]Sheet4!PivotTable3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Francis Amoah</c:v>
                </c:pt>
                <c:pt idx="1">
                  <c:v>Akua Mensimah</c:v>
                </c:pt>
                <c:pt idx="2">
                  <c:v>Benjamin Osei</c:v>
                </c:pt>
                <c:pt idx="3">
                  <c:v>David Kwarteng</c:v>
                </c:pt>
                <c:pt idx="4">
                  <c:v>Cynthia Aidoo</c:v>
                </c:pt>
                <c:pt idx="5">
                  <c:v>Esther Nyarko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699328.5</c:v>
                </c:pt>
                <c:pt idx="1">
                  <c:v>567258</c:v>
                </c:pt>
                <c:pt idx="2">
                  <c:v>556663.5</c:v>
                </c:pt>
                <c:pt idx="3">
                  <c:v>553147.25</c:v>
                </c:pt>
                <c:pt idx="4">
                  <c:v>543682.25</c:v>
                </c:pt>
                <c:pt idx="5">
                  <c:v>531037.25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2-45F2-9CBA-7DABF9553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770416"/>
        <c:axId val="1085321152"/>
      </c:barChart>
      <c:catAx>
        <c:axId val="11077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85321152"/>
        <c:crosses val="autoZero"/>
        <c:auto val="1"/>
        <c:lblAlgn val="ctr"/>
        <c:lblOffset val="100"/>
        <c:noMultiLvlLbl val="0"/>
      </c:catAx>
      <c:valAx>
        <c:axId val="10853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0777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6</xdr:row>
      <xdr:rowOff>167640</xdr:rowOff>
    </xdr:from>
    <xdr:to>
      <xdr:col>12</xdr:col>
      <xdr:colOff>15240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190A9-8720-4693-9B37-4E539BA26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6</xdr:row>
      <xdr:rowOff>167640</xdr:rowOff>
    </xdr:from>
    <xdr:to>
      <xdr:col>12</xdr:col>
      <xdr:colOff>22860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2ABBC-D616-4DC4-8B2C-0A8A8EAAF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6</xdr:row>
      <xdr:rowOff>167640</xdr:rowOff>
    </xdr:from>
    <xdr:to>
      <xdr:col>12</xdr:col>
      <xdr:colOff>281940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22A2F-C969-42E3-AFA4-7671924C9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ulah Assan" refreshedDate="46291.570409143518" createdVersion="6" refreshedVersion="6" minRefreshableVersion="3" recordCount="992" xr:uid="{326C3209-339C-4472-AB2C-4C5F5CE8AB48}">
  <cacheSource type="worksheet">
    <worksheetSource ref="A1:P993" sheet="Sheet1"/>
  </cacheSource>
  <cacheFields count="16">
    <cacheField name="OrderID" numFmtId="0">
      <sharedItems/>
    </cacheField>
    <cacheField name="OrderDate" numFmtId="0">
      <sharedItems containsSemiMixedTypes="0" containsString="0" containsNumber="1" containsInteger="1" minValue="46024" maxValue="46259"/>
    </cacheField>
    <cacheField name="CustomerID" numFmtId="0">
      <sharedItems/>
    </cacheField>
    <cacheField name="CustomerName" numFmtId="0">
      <sharedItems count="110">
        <s v="Adwoa Asare"/>
        <s v="Kojo Issah"/>
        <s v="Akosua Boadu"/>
        <s v="Kofi Appiah"/>
        <s v="Kwame Issah"/>
        <s v="Ibrahim Mensah"/>
        <s v="Samuel Asare"/>
        <s v="Akosua Darko"/>
        <s v="Ibrahim Amankwah"/>
        <s v="Daniel Issah"/>
        <s v="Daniel Quaye"/>
        <s v="Esi Owusu"/>
        <s v="Kojo Mensah"/>
        <s v="Akosua Tetteh"/>
        <s v="Grace Amankwah"/>
        <s v="Akosua Agyeman"/>
        <s v="Priscilla Boadu"/>
        <s v="Ibrahim Tetteh"/>
        <s v="Kofi Amankwah"/>
        <s v="Kofi Quaye"/>
        <s v="Ama Owusu"/>
        <s v="Joseph Boateng"/>
        <s v="Kojo Amankwah"/>
        <s v="Kwame Sarpong"/>
        <s v="Kofi Boadu"/>
        <s v="Samuel Darko"/>
        <s v="Priscilla Addo"/>
        <s v="Kofi Owusu"/>
        <s v="Mariam Darko"/>
        <s v="Kwame Boateng"/>
        <s v="Adwoa Tetteh"/>
        <s v="Mariam Issah"/>
        <s v="Ibrahim Boateng"/>
        <s v="Abena Boateng"/>
        <s v="Kojo Boateng"/>
        <s v="Abena Sarpong"/>
        <s v="Samuel Boateng"/>
        <s v="Grace Appiah"/>
        <s v="Mariam Boadu"/>
        <s v="Priscilla Amankwah"/>
        <s v="Grace Agyeman"/>
        <s v="Daniel Boadu"/>
        <s v="Kofi Agyeman"/>
        <s v="Efua Agyeman"/>
        <s v="Kofi Tetteh"/>
        <s v="Mariam Agyeman"/>
        <s v="Kwame Mensah"/>
        <s v="Michael Appiah"/>
        <s v="Abena Tetteh"/>
        <s v="Kofi Asare"/>
        <s v="Grace Boadu"/>
        <s v="Efua Mensah"/>
        <s v="Ibrahim Quaye"/>
        <s v="Esi Mensah"/>
        <s v="Akosua Sarpong"/>
        <s v="Kofi Boateng"/>
        <s v="Adwoa Issah"/>
        <s v="Kwame Owusu"/>
        <s v="Abena Quaye"/>
        <s v="Efua Darko"/>
        <s v="Esi Addo"/>
        <s v="Ibrahim Asare"/>
        <s v="Michael Tetteh"/>
        <s v="Adwoa Boateng"/>
        <s v="Nana Boadu"/>
        <s v="Daniel Agyeman"/>
        <s v="Abena Mensah"/>
        <s v="Priscilla Issah"/>
        <s v="Linda Ofori"/>
        <s v="Kojo Sarpong"/>
        <s v="Ibrahim Owusu"/>
        <s v="Efua Sarpong"/>
        <s v="Daniel Addo"/>
        <s v="Mariam Ofori"/>
        <s v="Abena Issah"/>
        <s v="Kojo Darko"/>
        <s v="Yaw Quaye"/>
        <s v="Esi Boateng"/>
        <s v="Joseph Owusu"/>
        <s v="Grace Asare"/>
        <s v="Ama Sarpong"/>
        <s v="Adwoa Addo"/>
        <s v="Yaw Appiah"/>
        <s v="Joseph Issah"/>
        <s v="Kwame Amankwah"/>
        <s v="Joseph Addo"/>
        <s v="Adwoa Darko"/>
        <s v="Esi Quaye"/>
        <s v="Yaw Addo"/>
        <s v="Ibrahim Agyeman"/>
        <s v="Grace Boateng"/>
        <s v="Kofi Sarpong"/>
        <s v=" Akosua Darko "/>
        <s v="Grace Darko"/>
        <s v=" Priscilla Issah "/>
        <s v=" Efua Mensah "/>
        <s v="Samuel Quaye"/>
        <s v=" Akosua Sarpong "/>
        <s v=" Priscilla Boadu "/>
        <s v="Yaw Agyeman"/>
        <s v=" Yaw Appiah "/>
        <s v=" Adwoa Darko "/>
        <s v=" Esi Addo "/>
        <s v=" Ibrahim Tetteh "/>
        <s v=" Abena Issah "/>
        <s v=" Akosua Boadu "/>
        <s v=" Kofi Tetteh "/>
        <s v=" Joseph Boateng "/>
        <s v=" Kwame Mensah "/>
        <s v=" Ibrahim Amankwah "/>
      </sharedItems>
    </cacheField>
    <cacheField name="Region" numFmtId="0">
      <sharedItems count="6">
        <s v="Western"/>
        <s v="Northern"/>
        <s v="Ashanti"/>
        <s v="Greater Accra"/>
        <s v="Eastern"/>
        <s v="Central"/>
      </sharedItems>
    </cacheField>
    <cacheField name="Segment" numFmtId="0">
      <sharedItems/>
    </cacheField>
    <cacheField name="ProductID" numFmtId="0">
      <sharedItems/>
    </cacheField>
    <cacheField name="Product" numFmtId="0">
      <sharedItems count="18">
        <s v="Ethernet Cable 10m"/>
        <s v="Performance Laptop"/>
        <s v="Flash Drive 128GB"/>
        <s v="24-inch Monitor"/>
        <s v="Bluetooth Speaker"/>
        <s v="Office Laptop"/>
        <s v="Network Switch"/>
        <s v="Tablet"/>
        <s v="Noise-Cancelling Headset"/>
        <s v="Webcam"/>
        <s v="Laptop Stand"/>
        <s v="Wireless Mouse"/>
        <s v="Mechanical Keyboard"/>
        <s v="USB-C Hub"/>
        <s v="External HDD 2TB"/>
        <s v="Wi-Fi Router"/>
        <s v="27-inch Monitor"/>
        <s v="External SSD 1TB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minValue="80.75" maxValue="8610"/>
    </cacheField>
    <cacheField name="SalesPerson" numFmtId="0">
      <sharedItems count="6">
        <s v="Francis Amoah"/>
        <s v="David Kwarteng"/>
        <s v="Cynthia Aidoo"/>
        <s v="Benjamin Osei"/>
        <s v="Akua Mensimah"/>
        <s v="Esther Nyarko"/>
      </sharedItems>
    </cacheField>
    <cacheField name="PaymentMethod" numFmtId="0">
      <sharedItems/>
    </cacheField>
    <cacheField name="Revenue" numFmtId="0">
      <sharedItems containsSemiMixedTypes="0" containsString="0" containsNumber="1" minValue="80.75" maxValue="68880"/>
    </cacheField>
    <cacheField name="Total revenue" numFmtId="0">
      <sharedItems containsString="0" containsBlank="1" containsNumber="1" minValue="3451116.75" maxValue="3451116.75"/>
    </cacheField>
    <cacheField name="Average order value" numFmtId="0">
      <sharedItems containsString="0" containsBlank="1" containsNumber="1" minValue="3478.9483366935483" maxValue="3478.94833669354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s v="O00001"/>
    <n v="46250"/>
    <s v="C100"/>
    <x v="0"/>
    <x v="0"/>
    <s v="Retail"/>
    <s v="P018"/>
    <x v="0"/>
    <s v="Networking"/>
    <n v="5"/>
    <n v="99.75"/>
    <x v="0"/>
    <s v="Card"/>
    <n v="498.75"/>
    <n v="3451116.75"/>
    <n v="3478.9483366935483"/>
  </r>
  <r>
    <s v="O00002"/>
    <n v="46245"/>
    <s v="C119"/>
    <x v="1"/>
    <x v="0"/>
    <s v="Retail"/>
    <s v="P008"/>
    <x v="1"/>
    <s v="Computers"/>
    <n v="1"/>
    <n v="8200"/>
    <x v="1"/>
    <s v="Mobile Money"/>
    <n v="8200"/>
    <m/>
    <m/>
  </r>
  <r>
    <s v="O00003"/>
    <n v="46224"/>
    <s v="C023"/>
    <x v="2"/>
    <x v="1"/>
    <s v="Retail"/>
    <s v="P011"/>
    <x v="2"/>
    <s v="Storage"/>
    <n v="6"/>
    <n v="110"/>
    <x v="2"/>
    <s v="Card"/>
    <n v="660"/>
    <m/>
    <m/>
  </r>
  <r>
    <s v="O00004"/>
    <n v="46121"/>
    <s v="C101"/>
    <x v="3"/>
    <x v="0"/>
    <s v="Retail"/>
    <s v="P004"/>
    <x v="3"/>
    <s v="Displays"/>
    <n v="5"/>
    <n v="1450"/>
    <x v="3"/>
    <s v="Card"/>
    <n v="7250"/>
    <m/>
    <m/>
  </r>
  <r>
    <s v="O00005"/>
    <n v="46113"/>
    <s v="C105"/>
    <x v="4"/>
    <x v="2"/>
    <s v="SME"/>
    <s v="P015"/>
    <x v="4"/>
    <s v="Audio"/>
    <n v="1"/>
    <n v="420"/>
    <x v="3"/>
    <s v="Mobile Money"/>
    <n v="420"/>
    <m/>
    <m/>
  </r>
  <r>
    <s v="O00006"/>
    <n v="46126"/>
    <s v="C085"/>
    <x v="5"/>
    <x v="1"/>
    <s v="SME"/>
    <s v="P007"/>
    <x v="5"/>
    <s v="Computers"/>
    <n v="1"/>
    <n v="4940"/>
    <x v="2"/>
    <s v="Bank Transfer"/>
    <n v="4940"/>
    <m/>
    <m/>
  </r>
  <r>
    <s v="O00007"/>
    <n v="46126"/>
    <s v="C083"/>
    <x v="6"/>
    <x v="2"/>
    <s v="SME"/>
    <s v="P017"/>
    <x v="6"/>
    <s v="Networking"/>
    <n v="3"/>
    <n v="798"/>
    <x v="2"/>
    <s v="Mobile Money"/>
    <n v="2394"/>
    <m/>
    <m/>
  </r>
  <r>
    <s v="O00008"/>
    <n v="46069"/>
    <s v="C015"/>
    <x v="7"/>
    <x v="0"/>
    <s v="Corporate"/>
    <s v="P009"/>
    <x v="7"/>
    <s v="Computers"/>
    <n v="2"/>
    <n v="3100"/>
    <x v="4"/>
    <s v="Mobile Money"/>
    <n v="6200"/>
    <m/>
    <m/>
  </r>
  <r>
    <s v="O00009"/>
    <n v="46112"/>
    <s v="C077"/>
    <x v="8"/>
    <x v="3"/>
    <s v="Retail"/>
    <s v="P014"/>
    <x v="8"/>
    <s v="Audio"/>
    <n v="3"/>
    <n v="650"/>
    <x v="1"/>
    <s v="Mobile Money"/>
    <n v="1950"/>
    <m/>
    <m/>
  </r>
  <r>
    <s v="O00010"/>
    <n v="46089"/>
    <s v="C050"/>
    <x v="9"/>
    <x v="0"/>
    <s v="Retail"/>
    <s v="P007"/>
    <x v="5"/>
    <s v="Computers"/>
    <n v="1"/>
    <n v="5200"/>
    <x v="4"/>
    <s v="Card"/>
    <n v="5200"/>
    <m/>
    <m/>
  </r>
  <r>
    <s v="O00011"/>
    <n v="46041"/>
    <s v="C047"/>
    <x v="10"/>
    <x v="2"/>
    <s v="Corporate"/>
    <s v="P014"/>
    <x v="8"/>
    <s v="Audio"/>
    <n v="6"/>
    <n v="650"/>
    <x v="5"/>
    <s v="Bank Transfer"/>
    <n v="3900"/>
    <m/>
    <m/>
  </r>
  <r>
    <s v="O00012"/>
    <n v="46208"/>
    <s v="C085"/>
    <x v="5"/>
    <x v="1"/>
    <s v="SME"/>
    <s v="P004"/>
    <x v="3"/>
    <s v="Displays"/>
    <n v="5"/>
    <n v="1522.5"/>
    <x v="2"/>
    <s v="Cash"/>
    <n v="7612.5"/>
    <m/>
    <m/>
  </r>
  <r>
    <s v="O00013"/>
    <n v="46202"/>
    <s v="C042"/>
    <x v="11"/>
    <x v="0"/>
    <s v="SME"/>
    <s v="P013"/>
    <x v="9"/>
    <s v="Accessories"/>
    <n v="1"/>
    <n v="320"/>
    <x v="3"/>
    <s v="Cash"/>
    <n v="320"/>
    <m/>
    <m/>
  </r>
  <r>
    <s v="O00014"/>
    <n v="46197"/>
    <s v="C086"/>
    <x v="12"/>
    <x v="4"/>
    <s v="SME"/>
    <s v="P013"/>
    <x v="9"/>
    <s v="Accessories"/>
    <n v="3"/>
    <n v="320"/>
    <x v="5"/>
    <s v="Bank Transfer"/>
    <n v="960"/>
    <m/>
    <m/>
  </r>
  <r>
    <s v="O00015"/>
    <n v="46237"/>
    <s v="C052"/>
    <x v="13"/>
    <x v="5"/>
    <s v="Retail"/>
    <s v="P018"/>
    <x v="0"/>
    <s v="Networking"/>
    <n v="1"/>
    <n v="95"/>
    <x v="3"/>
    <s v="Cash"/>
    <n v="95"/>
    <m/>
    <m/>
  </r>
  <r>
    <s v="O00016"/>
    <n v="46143"/>
    <s v="C101"/>
    <x v="3"/>
    <x v="0"/>
    <s v="Retail"/>
    <s v="P011"/>
    <x v="2"/>
    <s v="Storage"/>
    <n v="2"/>
    <n v="110"/>
    <x v="5"/>
    <s v="Cash"/>
    <n v="220"/>
    <m/>
    <m/>
  </r>
  <r>
    <s v="O00017"/>
    <n v="46192"/>
    <s v="C102"/>
    <x v="14"/>
    <x v="4"/>
    <s v="Corporate"/>
    <s v="P006"/>
    <x v="10"/>
    <s v="Accessories"/>
    <n v="1"/>
    <n v="168"/>
    <x v="0"/>
    <s v="Bank Transfer"/>
    <n v="168"/>
    <m/>
    <m/>
  </r>
  <r>
    <s v="O00018"/>
    <n v="46196"/>
    <s v="C012"/>
    <x v="15"/>
    <x v="3"/>
    <s v="SME"/>
    <s v="P008"/>
    <x v="1"/>
    <s v="Computers"/>
    <n v="1"/>
    <n v="8200"/>
    <x v="3"/>
    <s v="Mobile Money"/>
    <n v="8200"/>
    <m/>
    <m/>
  </r>
  <r>
    <s v="O00019"/>
    <n v="46145"/>
    <s v="C006"/>
    <x v="16"/>
    <x v="3"/>
    <s v="Corporate"/>
    <s v="P008"/>
    <x v="1"/>
    <s v="Computers"/>
    <n v="3"/>
    <n v="7790"/>
    <x v="1"/>
    <s v="Cash"/>
    <n v="23370"/>
    <m/>
    <m/>
  </r>
  <r>
    <s v="O00020"/>
    <n v="46207"/>
    <s v="C114"/>
    <x v="17"/>
    <x v="5"/>
    <s v="Corporate"/>
    <s v="P007"/>
    <x v="5"/>
    <s v="Computers"/>
    <n v="3"/>
    <n v="5200"/>
    <x v="1"/>
    <s v="Card"/>
    <n v="15600"/>
    <m/>
    <m/>
  </r>
  <r>
    <s v="O00021"/>
    <n v="46252"/>
    <s v="C019"/>
    <x v="18"/>
    <x v="3"/>
    <s v="SME"/>
    <s v="P001"/>
    <x v="11"/>
    <s v="Accessories"/>
    <n v="4"/>
    <n v="80.75"/>
    <x v="1"/>
    <s v="Card"/>
    <n v="323"/>
    <m/>
    <m/>
  </r>
  <r>
    <s v="O00022"/>
    <n v="46142"/>
    <s v="C023"/>
    <x v="2"/>
    <x v="1"/>
    <s v="Retail"/>
    <s v="P017"/>
    <x v="6"/>
    <s v="Networking"/>
    <n v="1"/>
    <n v="760"/>
    <x v="4"/>
    <s v="Cash"/>
    <n v="760"/>
    <m/>
    <m/>
  </r>
  <r>
    <s v="O00023"/>
    <n v="46194"/>
    <s v="C018"/>
    <x v="19"/>
    <x v="0"/>
    <s v="Retail"/>
    <s v="P015"/>
    <x v="4"/>
    <s v="Audio"/>
    <n v="2"/>
    <n v="441"/>
    <x v="5"/>
    <s v="Bank Transfer"/>
    <n v="882"/>
    <m/>
    <m/>
  </r>
  <r>
    <s v="O00025"/>
    <n v="46214"/>
    <s v="C115"/>
    <x v="20"/>
    <x v="3"/>
    <s v="Corporate"/>
    <s v="P006"/>
    <x v="10"/>
    <s v="Accessories"/>
    <n v="5"/>
    <n v="160"/>
    <x v="2"/>
    <s v="Card"/>
    <n v="800"/>
    <m/>
    <m/>
  </r>
  <r>
    <s v="O00026"/>
    <n v="46220"/>
    <s v="C108"/>
    <x v="21"/>
    <x v="1"/>
    <s v="SME"/>
    <s v="P009"/>
    <x v="7"/>
    <s v="Computers"/>
    <n v="4"/>
    <n v="3100"/>
    <x v="0"/>
    <s v="Card"/>
    <n v="12400"/>
    <m/>
    <m/>
  </r>
  <r>
    <s v="O00027"/>
    <n v="46043"/>
    <s v="C036"/>
    <x v="22"/>
    <x v="3"/>
    <s v="Retail"/>
    <s v="P015"/>
    <x v="4"/>
    <s v="Audio"/>
    <n v="3"/>
    <n v="420"/>
    <x v="2"/>
    <s v="Bank Transfer"/>
    <n v="1260"/>
    <m/>
    <m/>
  </r>
  <r>
    <s v="O00028"/>
    <n v="46044"/>
    <s v="C041"/>
    <x v="23"/>
    <x v="4"/>
    <s v="SME"/>
    <s v="P018"/>
    <x v="0"/>
    <s v="Networking"/>
    <n v="1"/>
    <n v="95"/>
    <x v="1"/>
    <s v="Card"/>
    <n v="95"/>
    <m/>
    <m/>
  </r>
  <r>
    <s v="O00029"/>
    <n v="46040"/>
    <s v="C091"/>
    <x v="24"/>
    <x v="4"/>
    <s v="Retail"/>
    <s v="P007"/>
    <x v="5"/>
    <s v="Computers"/>
    <n v="2"/>
    <n v="5200"/>
    <x v="5"/>
    <s v="Cash"/>
    <n v="10400"/>
    <m/>
    <m/>
  </r>
  <r>
    <s v="O00030"/>
    <n v="46076"/>
    <s v="C054"/>
    <x v="25"/>
    <x v="2"/>
    <s v="SME"/>
    <s v="P002"/>
    <x v="12"/>
    <s v="Accessories"/>
    <n v="4"/>
    <n v="240"/>
    <x v="5"/>
    <s v="Mobile Money"/>
    <n v="960"/>
    <m/>
    <m/>
  </r>
  <r>
    <s v="O00031"/>
    <n v="46146"/>
    <s v="C110"/>
    <x v="26"/>
    <x v="0"/>
    <s v="Retail"/>
    <s v="P013"/>
    <x v="9"/>
    <s v="Accessories"/>
    <n v="1"/>
    <n v="320"/>
    <x v="2"/>
    <s v="Cash"/>
    <n v="320"/>
    <m/>
    <m/>
  </r>
  <r>
    <s v="O00032"/>
    <n v="46161"/>
    <s v="C110"/>
    <x v="26"/>
    <x v="0"/>
    <s v="Retail"/>
    <s v="P014"/>
    <x v="8"/>
    <s v="Audio"/>
    <n v="3"/>
    <n v="682.5"/>
    <x v="5"/>
    <s v="Card"/>
    <n v="2047.5"/>
    <m/>
    <m/>
  </r>
  <r>
    <s v="O00033"/>
    <n v="46093"/>
    <s v="C063"/>
    <x v="27"/>
    <x v="3"/>
    <s v="SME"/>
    <s v="P008"/>
    <x v="1"/>
    <s v="Computers"/>
    <n v="2"/>
    <n v="7790"/>
    <x v="1"/>
    <s v="Bank Transfer"/>
    <n v="15580"/>
    <m/>
    <m/>
  </r>
  <r>
    <s v="O00034"/>
    <n v="46209"/>
    <s v="C086"/>
    <x v="12"/>
    <x v="4"/>
    <s v="SME"/>
    <s v="P013"/>
    <x v="9"/>
    <s v="Accessories"/>
    <n v="1"/>
    <n v="320"/>
    <x v="3"/>
    <s v="Mobile Money"/>
    <n v="320"/>
    <m/>
    <m/>
  </r>
  <r>
    <s v="O00035"/>
    <n v="46175"/>
    <s v="C117"/>
    <x v="28"/>
    <x v="2"/>
    <s v="SME"/>
    <s v="P013"/>
    <x v="9"/>
    <s v="Accessories"/>
    <n v="2"/>
    <n v="304"/>
    <x v="4"/>
    <s v="Cash"/>
    <n v="608"/>
    <m/>
    <m/>
  </r>
  <r>
    <s v="O00036"/>
    <n v="46070"/>
    <s v="C018"/>
    <x v="19"/>
    <x v="0"/>
    <s v="Retail"/>
    <s v="P015"/>
    <x v="4"/>
    <s v="Audio"/>
    <n v="1"/>
    <n v="420"/>
    <x v="2"/>
    <s v="Card"/>
    <n v="420"/>
    <m/>
    <m/>
  </r>
  <r>
    <s v="O00037"/>
    <n v="46110"/>
    <s v="C059"/>
    <x v="29"/>
    <x v="2"/>
    <s v="Retail"/>
    <s v="P011"/>
    <x v="2"/>
    <s v="Storage"/>
    <n v="4"/>
    <n v="110"/>
    <x v="2"/>
    <s v="Cash"/>
    <n v="440"/>
    <m/>
    <m/>
  </r>
  <r>
    <s v="O00038"/>
    <n v="46144"/>
    <s v="C033"/>
    <x v="30"/>
    <x v="4"/>
    <s v="SME"/>
    <s v="P003"/>
    <x v="13"/>
    <s v="Accessories"/>
    <n v="1"/>
    <n v="189"/>
    <x v="4"/>
    <s v="Bank Transfer"/>
    <n v="189"/>
    <m/>
    <m/>
  </r>
  <r>
    <s v="O00039"/>
    <n v="46223"/>
    <s v="C029"/>
    <x v="31"/>
    <x v="1"/>
    <s v="SME"/>
    <s v="P003"/>
    <x v="13"/>
    <s v="Accessories"/>
    <n v="8"/>
    <n v="171"/>
    <x v="4"/>
    <s v="Card"/>
    <n v="1368"/>
    <m/>
    <m/>
  </r>
  <r>
    <s v="O00040"/>
    <n v="46183"/>
    <s v="C026"/>
    <x v="32"/>
    <x v="1"/>
    <s v="SME"/>
    <s v="P001"/>
    <x v="11"/>
    <s v="Accessories"/>
    <n v="1"/>
    <n v="85"/>
    <x v="1"/>
    <s v="Mobile Money"/>
    <n v="85"/>
    <m/>
    <m/>
  </r>
  <r>
    <s v="O00041"/>
    <n v="46143"/>
    <s v="C073"/>
    <x v="33"/>
    <x v="4"/>
    <s v="SME"/>
    <s v="P007"/>
    <x v="5"/>
    <s v="Computers"/>
    <n v="3"/>
    <n v="5200"/>
    <x v="3"/>
    <s v="Mobile Money"/>
    <n v="15600"/>
    <m/>
    <m/>
  </r>
  <r>
    <s v="O00042"/>
    <n v="46103"/>
    <s v="C100"/>
    <x v="0"/>
    <x v="0"/>
    <s v="Retail"/>
    <s v="P006"/>
    <x v="10"/>
    <s v="Accessories"/>
    <n v="1"/>
    <n v="152"/>
    <x v="2"/>
    <s v="Cash"/>
    <n v="152"/>
    <m/>
    <m/>
  </r>
  <r>
    <s v="O00043"/>
    <n v="46043"/>
    <s v="C051"/>
    <x v="34"/>
    <x v="4"/>
    <s v="Retail"/>
    <s v="P007"/>
    <x v="5"/>
    <s v="Computers"/>
    <n v="3"/>
    <n v="5200"/>
    <x v="4"/>
    <s v="Bank Transfer"/>
    <n v="15600"/>
    <m/>
    <m/>
  </r>
  <r>
    <s v="O00044"/>
    <n v="46227"/>
    <s v="C109"/>
    <x v="35"/>
    <x v="1"/>
    <s v="SME"/>
    <s v="P004"/>
    <x v="3"/>
    <s v="Displays"/>
    <n v="10"/>
    <n v="1377.5"/>
    <x v="2"/>
    <s v="Cash"/>
    <n v="13775"/>
    <m/>
    <m/>
  </r>
  <r>
    <s v="O00045"/>
    <n v="46041"/>
    <s v="C085"/>
    <x v="5"/>
    <x v="1"/>
    <s v="SME"/>
    <s v="P012"/>
    <x v="14"/>
    <s v="Storage"/>
    <n v="2"/>
    <n v="480"/>
    <x v="4"/>
    <s v="Cash"/>
    <n v="960"/>
    <m/>
    <m/>
  </r>
  <r>
    <s v="O00046"/>
    <n v="46051"/>
    <s v="C106"/>
    <x v="4"/>
    <x v="3"/>
    <s v="Corporate"/>
    <s v="P016"/>
    <x v="15"/>
    <s v="Networking"/>
    <n v="2"/>
    <n v="590"/>
    <x v="0"/>
    <s v="Cash"/>
    <n v="1180"/>
    <m/>
    <m/>
  </r>
  <r>
    <s v="O00047"/>
    <n v="46135"/>
    <s v="C091"/>
    <x v="24"/>
    <x v="4"/>
    <s v="Retail"/>
    <s v="P005"/>
    <x v="16"/>
    <s v="Displays"/>
    <n v="1"/>
    <n v="2310"/>
    <x v="0"/>
    <s v="Bank Transfer"/>
    <n v="2310"/>
    <m/>
    <m/>
  </r>
  <r>
    <s v="O00048"/>
    <n v="46222"/>
    <s v="C079"/>
    <x v="36"/>
    <x v="5"/>
    <s v="Retail"/>
    <s v="P018"/>
    <x v="0"/>
    <s v="Networking"/>
    <n v="2"/>
    <n v="95"/>
    <x v="0"/>
    <s v="Bank Transfer"/>
    <n v="190"/>
    <m/>
    <m/>
  </r>
  <r>
    <s v="O00049"/>
    <n v="46236"/>
    <s v="C042"/>
    <x v="11"/>
    <x v="0"/>
    <s v="SME"/>
    <s v="P008"/>
    <x v="1"/>
    <s v="Computers"/>
    <n v="6"/>
    <n v="8200"/>
    <x v="1"/>
    <s v="Card"/>
    <n v="49200"/>
    <m/>
    <m/>
  </r>
  <r>
    <s v="O00050"/>
    <n v="46169"/>
    <s v="C097"/>
    <x v="37"/>
    <x v="3"/>
    <s v="Retail"/>
    <s v="P015"/>
    <x v="4"/>
    <s v="Audio"/>
    <n v="3"/>
    <n v="420"/>
    <x v="2"/>
    <s v="Mobile Money"/>
    <n v="1260"/>
    <m/>
    <m/>
  </r>
  <r>
    <s v="O00051"/>
    <n v="46070"/>
    <s v="C064"/>
    <x v="7"/>
    <x v="2"/>
    <s v="SME"/>
    <s v="P011"/>
    <x v="2"/>
    <s v="Storage"/>
    <n v="2"/>
    <n v="110"/>
    <x v="2"/>
    <s v="Bank Transfer"/>
    <n v="220"/>
    <m/>
    <m/>
  </r>
  <r>
    <s v="O00052"/>
    <n v="46166"/>
    <s v="C036"/>
    <x v="22"/>
    <x v="3"/>
    <s v="Retail"/>
    <s v="P009"/>
    <x v="7"/>
    <s v="Computers"/>
    <n v="1"/>
    <n v="3100"/>
    <x v="4"/>
    <s v="Card"/>
    <n v="3100"/>
    <m/>
    <m/>
  </r>
  <r>
    <s v="O00053"/>
    <n v="46149"/>
    <s v="C093"/>
    <x v="38"/>
    <x v="4"/>
    <s v="SME"/>
    <s v="P014"/>
    <x v="8"/>
    <s v="Audio"/>
    <n v="2"/>
    <n v="650"/>
    <x v="0"/>
    <s v="Cash"/>
    <n v="1300"/>
    <m/>
    <m/>
  </r>
  <r>
    <s v="O00054"/>
    <n v="46138"/>
    <s v="C083"/>
    <x v="6"/>
    <x v="2"/>
    <s v="SME"/>
    <s v="P016"/>
    <x v="15"/>
    <s v="Networking"/>
    <n v="4"/>
    <n v="560.5"/>
    <x v="2"/>
    <s v="Card"/>
    <n v="2242"/>
    <m/>
    <m/>
  </r>
  <r>
    <s v="O00055"/>
    <n v="46102"/>
    <s v="C052"/>
    <x v="13"/>
    <x v="5"/>
    <s v="Retail"/>
    <s v="P008"/>
    <x v="1"/>
    <s v="Computers"/>
    <n v="3"/>
    <n v="8200"/>
    <x v="1"/>
    <s v="Bank Transfer"/>
    <n v="24600"/>
    <m/>
    <m/>
  </r>
  <r>
    <s v="O00056"/>
    <n v="46108"/>
    <s v="C055"/>
    <x v="39"/>
    <x v="4"/>
    <s v="SME"/>
    <s v="P018"/>
    <x v="0"/>
    <s v="Networking"/>
    <n v="2"/>
    <n v="95"/>
    <x v="2"/>
    <s v="Bank Transfer"/>
    <n v="190"/>
    <m/>
    <m/>
  </r>
  <r>
    <s v="O00057"/>
    <n v="46054"/>
    <s v="C033"/>
    <x v="30"/>
    <x v="4"/>
    <s v="SME"/>
    <s v="P008"/>
    <x v="1"/>
    <s v="Computers"/>
    <n v="3"/>
    <n v="8200"/>
    <x v="4"/>
    <s v="Card"/>
    <n v="24600"/>
    <m/>
    <m/>
  </r>
  <r>
    <s v="O00058"/>
    <n v="46213"/>
    <s v="C025"/>
    <x v="40"/>
    <x v="0"/>
    <s v="Corporate"/>
    <s v="P007"/>
    <x v="5"/>
    <s v="Computers"/>
    <n v="2"/>
    <n v="5460"/>
    <x v="5"/>
    <s v="Bank Transfer"/>
    <n v="10920"/>
    <m/>
    <m/>
  </r>
  <r>
    <s v="O00059"/>
    <n v="46099"/>
    <s v="C013"/>
    <x v="41"/>
    <x v="0"/>
    <s v="Retail"/>
    <s v="P007"/>
    <x v="5"/>
    <s v="Computers"/>
    <n v="1"/>
    <n v="5200"/>
    <x v="2"/>
    <s v="Mobile Money"/>
    <n v="5200"/>
    <m/>
    <m/>
  </r>
  <r>
    <s v="O00060"/>
    <n v="46056"/>
    <s v="C091"/>
    <x v="24"/>
    <x v="4"/>
    <s v="Retail"/>
    <s v="P018"/>
    <x v="0"/>
    <s v="Networking"/>
    <n v="1"/>
    <n v="90.25"/>
    <x v="5"/>
    <s v="Bank Transfer"/>
    <n v="90.25"/>
    <m/>
    <m/>
  </r>
  <r>
    <s v="O00061"/>
    <n v="46187"/>
    <s v="C090"/>
    <x v="42"/>
    <x v="3"/>
    <s v="Corporate"/>
    <s v="P005"/>
    <x v="16"/>
    <s v="Displays"/>
    <n v="5"/>
    <n v="2200"/>
    <x v="4"/>
    <s v="Mobile Money"/>
    <n v="11000"/>
    <m/>
    <m/>
  </r>
  <r>
    <s v="O00062"/>
    <n v="46144"/>
    <s v="C074"/>
    <x v="43"/>
    <x v="2"/>
    <s v="SME"/>
    <s v="P010"/>
    <x v="17"/>
    <s v="Storage"/>
    <n v="2"/>
    <n v="720"/>
    <x v="3"/>
    <s v="Mobile Money"/>
    <n v="1440"/>
    <m/>
    <m/>
  </r>
  <r>
    <s v="O00063"/>
    <n v="46053"/>
    <s v="C033"/>
    <x v="30"/>
    <x v="4"/>
    <s v="SME"/>
    <s v="P016"/>
    <x v="15"/>
    <s v="Networking"/>
    <n v="4"/>
    <n v="590"/>
    <x v="1"/>
    <s v="Mobile Money"/>
    <n v="2360"/>
    <m/>
    <m/>
  </r>
  <r>
    <s v="O00064"/>
    <n v="46062"/>
    <s v="C074"/>
    <x v="43"/>
    <x v="2"/>
    <s v="SME"/>
    <s v="P002"/>
    <x v="12"/>
    <s v="Accessories"/>
    <n v="1"/>
    <n v="252"/>
    <x v="2"/>
    <s v="Mobile Money"/>
    <n v="252"/>
    <m/>
    <m/>
  </r>
  <r>
    <s v="O00065"/>
    <n v="46166"/>
    <s v="C032"/>
    <x v="44"/>
    <x v="4"/>
    <s v="Corporate"/>
    <s v="P004"/>
    <x v="3"/>
    <s v="Displays"/>
    <n v="4"/>
    <n v="1522.5"/>
    <x v="5"/>
    <s v="Card"/>
    <n v="6090"/>
    <m/>
    <m/>
  </r>
  <r>
    <s v="O00066"/>
    <n v="46121"/>
    <s v="C100"/>
    <x v="0"/>
    <x v="0"/>
    <s v="Retail"/>
    <s v="P017"/>
    <x v="6"/>
    <s v="Networking"/>
    <n v="2"/>
    <n v="760"/>
    <x v="2"/>
    <s v="Cash"/>
    <n v="1520"/>
    <m/>
    <m/>
  </r>
  <r>
    <s v="O00067"/>
    <n v="46180"/>
    <s v="C040"/>
    <x v="8"/>
    <x v="3"/>
    <s v="Corporate"/>
    <s v="P002"/>
    <x v="12"/>
    <s v="Accessories"/>
    <n v="8"/>
    <n v="228"/>
    <x v="3"/>
    <s v="Card"/>
    <n v="1824"/>
    <m/>
    <m/>
  </r>
  <r>
    <s v="O00068"/>
    <n v="46064"/>
    <s v="C034"/>
    <x v="45"/>
    <x v="0"/>
    <s v="Retail"/>
    <s v="P003"/>
    <x v="13"/>
    <s v="Accessories"/>
    <n v="1"/>
    <n v="189"/>
    <x v="4"/>
    <s v="Card"/>
    <n v="189"/>
    <m/>
    <m/>
  </r>
  <r>
    <s v="O00069"/>
    <n v="46139"/>
    <s v="C001"/>
    <x v="46"/>
    <x v="1"/>
    <s v="SME"/>
    <s v="P014"/>
    <x v="8"/>
    <s v="Audio"/>
    <n v="3"/>
    <n v="650"/>
    <x v="2"/>
    <s v="Mobile Money"/>
    <n v="1950"/>
    <m/>
    <m/>
  </r>
  <r>
    <s v="O00070"/>
    <n v="46204"/>
    <s v="C030"/>
    <x v="35"/>
    <x v="5"/>
    <s v="SME"/>
    <s v="P010"/>
    <x v="17"/>
    <s v="Storage"/>
    <n v="1"/>
    <n v="720"/>
    <x v="4"/>
    <s v="Card"/>
    <n v="720"/>
    <m/>
    <m/>
  </r>
  <r>
    <s v="O00071"/>
    <n v="46225"/>
    <s v="C119"/>
    <x v="1"/>
    <x v="0"/>
    <s v="Retail"/>
    <s v="P009"/>
    <x v="7"/>
    <s v="Computers"/>
    <n v="4"/>
    <n v="3255"/>
    <x v="0"/>
    <s v="Card"/>
    <n v="13020"/>
    <m/>
    <m/>
  </r>
  <r>
    <s v="O00072"/>
    <n v="46163"/>
    <s v="C055"/>
    <x v="39"/>
    <x v="4"/>
    <s v="SME"/>
    <s v="P004"/>
    <x v="3"/>
    <s v="Displays"/>
    <n v="1"/>
    <n v="1450"/>
    <x v="2"/>
    <s v="Card"/>
    <n v="1450"/>
    <m/>
    <m/>
  </r>
  <r>
    <s v="O00073"/>
    <n v="46066"/>
    <s v="C010"/>
    <x v="47"/>
    <x v="0"/>
    <s v="Retail"/>
    <s v="P002"/>
    <x v="12"/>
    <s v="Accessories"/>
    <n v="4"/>
    <n v="252"/>
    <x v="0"/>
    <s v="Bank Transfer"/>
    <n v="1008"/>
    <m/>
    <m/>
  </r>
  <r>
    <s v="O00074"/>
    <n v="46143"/>
    <s v="C057"/>
    <x v="48"/>
    <x v="0"/>
    <s v="SME"/>
    <s v="P004"/>
    <x v="3"/>
    <s v="Displays"/>
    <n v="3"/>
    <n v="1450"/>
    <x v="2"/>
    <s v="Cash"/>
    <n v="4350"/>
    <m/>
    <m/>
  </r>
  <r>
    <s v="O00075"/>
    <n v="46177"/>
    <s v="C057"/>
    <x v="48"/>
    <x v="0"/>
    <s v="SME"/>
    <s v="P003"/>
    <x v="13"/>
    <s v="Accessories"/>
    <n v="1"/>
    <n v="180"/>
    <x v="0"/>
    <s v="Bank Transfer"/>
    <n v="180"/>
    <m/>
    <m/>
  </r>
  <r>
    <s v="O00076"/>
    <n v="46030"/>
    <s v="C078"/>
    <x v="49"/>
    <x v="5"/>
    <s v="SME"/>
    <s v="P009"/>
    <x v="7"/>
    <s v="Computers"/>
    <n v="1"/>
    <n v="3255"/>
    <x v="5"/>
    <s v="Mobile Money"/>
    <n v="3255"/>
    <m/>
    <m/>
  </r>
  <r>
    <s v="O00077"/>
    <n v="46171"/>
    <s v="C098"/>
    <x v="50"/>
    <x v="4"/>
    <s v="Retail"/>
    <s v="P009"/>
    <x v="7"/>
    <s v="Computers"/>
    <n v="1"/>
    <n v="3100"/>
    <x v="1"/>
    <s v="Cash"/>
    <n v="3100"/>
    <m/>
    <m/>
  </r>
  <r>
    <s v="O00078"/>
    <n v="46070"/>
    <s v="C118"/>
    <x v="51"/>
    <x v="0"/>
    <s v="SME"/>
    <s v="P009"/>
    <x v="7"/>
    <s v="Computers"/>
    <n v="10"/>
    <n v="3100"/>
    <x v="0"/>
    <s v="Cash"/>
    <n v="31000"/>
    <m/>
    <m/>
  </r>
  <r>
    <s v="O00079"/>
    <n v="46113"/>
    <s v="C012"/>
    <x v="15"/>
    <x v="3"/>
    <s v="Unknown"/>
    <s v="P016"/>
    <x v="15"/>
    <s v="Networking"/>
    <n v="2"/>
    <n v="590"/>
    <x v="0"/>
    <s v="Mobile Money"/>
    <n v="1180"/>
    <m/>
    <m/>
  </r>
  <r>
    <s v="O00080"/>
    <n v="46108"/>
    <s v="C110"/>
    <x v="26"/>
    <x v="0"/>
    <s v="Retail"/>
    <s v="P006"/>
    <x v="10"/>
    <s v="Accessories"/>
    <n v="2"/>
    <n v="160"/>
    <x v="2"/>
    <s v="Cash"/>
    <n v="320"/>
    <m/>
    <m/>
  </r>
  <r>
    <s v="O00081"/>
    <n v="46033"/>
    <s v="C105"/>
    <x v="4"/>
    <x v="2"/>
    <s v="SME"/>
    <s v="P018"/>
    <x v="0"/>
    <s v="Networking"/>
    <n v="2"/>
    <n v="95"/>
    <x v="2"/>
    <s v="Bank Transfer"/>
    <n v="190"/>
    <m/>
    <m/>
  </r>
  <r>
    <s v="O00082"/>
    <n v="46245"/>
    <s v="C015"/>
    <x v="7"/>
    <x v="0"/>
    <s v="Corporate"/>
    <s v="P013"/>
    <x v="9"/>
    <s v="Accessories"/>
    <n v="2"/>
    <n v="304"/>
    <x v="0"/>
    <s v="Cash"/>
    <n v="608"/>
    <m/>
    <m/>
  </r>
  <r>
    <s v="O00083"/>
    <n v="46072"/>
    <s v="C053"/>
    <x v="52"/>
    <x v="2"/>
    <s v="Retail"/>
    <s v="P002"/>
    <x v="12"/>
    <s v="Accessories"/>
    <n v="2"/>
    <n v="252"/>
    <x v="1"/>
    <s v="Cash"/>
    <n v="504"/>
    <m/>
    <m/>
  </r>
  <r>
    <s v="O00084"/>
    <n v="46076"/>
    <s v="C098"/>
    <x v="50"/>
    <x v="4"/>
    <s v="Retail"/>
    <s v="P002"/>
    <x v="12"/>
    <s v="Accessories"/>
    <n v="1"/>
    <n v="240"/>
    <x v="2"/>
    <s v="Cash"/>
    <n v="240"/>
    <m/>
    <m/>
  </r>
  <r>
    <s v="O00085"/>
    <n v="46055"/>
    <s v="C113"/>
    <x v="0"/>
    <x v="1"/>
    <s v="SME"/>
    <s v="P016"/>
    <x v="15"/>
    <s v="Networking"/>
    <n v="1"/>
    <n v="619.5"/>
    <x v="3"/>
    <s v="Card"/>
    <n v="619.5"/>
    <m/>
    <m/>
  </r>
  <r>
    <s v="O00086"/>
    <n v="46027"/>
    <s v="C040"/>
    <x v="8"/>
    <x v="3"/>
    <s v="Corporate"/>
    <s v="P018"/>
    <x v="0"/>
    <s v="Networking"/>
    <n v="2"/>
    <n v="90.25"/>
    <x v="3"/>
    <s v="Mobile Money"/>
    <n v="180.5"/>
    <m/>
    <m/>
  </r>
  <r>
    <s v="O00087"/>
    <n v="46189"/>
    <s v="C060"/>
    <x v="53"/>
    <x v="4"/>
    <s v="Corporate"/>
    <s v="P004"/>
    <x v="3"/>
    <s v="Displays"/>
    <n v="4"/>
    <n v="1450"/>
    <x v="0"/>
    <s v="Bank Transfer"/>
    <n v="5800"/>
    <m/>
    <m/>
  </r>
  <r>
    <s v="O00088"/>
    <n v="46130"/>
    <s v="C066"/>
    <x v="38"/>
    <x v="5"/>
    <s v="Retail"/>
    <s v="P009"/>
    <x v="7"/>
    <s v="Computers"/>
    <n v="4"/>
    <n v="3100"/>
    <x v="3"/>
    <s v="Cash"/>
    <n v="12400"/>
    <m/>
    <m/>
  </r>
  <r>
    <s v="O00089"/>
    <n v="46122"/>
    <s v="C071"/>
    <x v="46"/>
    <x v="5"/>
    <s v="Corporate"/>
    <s v="P005"/>
    <x v="16"/>
    <s v="Displays"/>
    <n v="1"/>
    <n v="2310"/>
    <x v="5"/>
    <s v="Card"/>
    <n v="2310"/>
    <m/>
    <m/>
  </r>
  <r>
    <s v="O00090"/>
    <n v="46094"/>
    <s v="C111"/>
    <x v="54"/>
    <x v="5"/>
    <s v="SME"/>
    <s v="P003"/>
    <x v="13"/>
    <s v="Accessories"/>
    <n v="4"/>
    <n v="180"/>
    <x v="2"/>
    <s v="Bank Transfer"/>
    <n v="720"/>
    <m/>
    <m/>
  </r>
  <r>
    <s v="O00091"/>
    <n v="46096"/>
    <s v="C106"/>
    <x v="4"/>
    <x v="3"/>
    <s v="Corporate"/>
    <s v="P001"/>
    <x v="11"/>
    <s v="Accessories"/>
    <n v="3"/>
    <n v="89.25"/>
    <x v="5"/>
    <s v="Cash"/>
    <n v="267.75"/>
    <m/>
    <m/>
  </r>
  <r>
    <s v="O00092"/>
    <n v="46138"/>
    <s v="C111"/>
    <x v="54"/>
    <x v="5"/>
    <s v="SME"/>
    <s v="P005"/>
    <x v="16"/>
    <s v="Displays"/>
    <n v="2"/>
    <n v="2200"/>
    <x v="2"/>
    <s v="Cash"/>
    <n v="4400"/>
    <m/>
    <m/>
  </r>
  <r>
    <s v="O00093"/>
    <n v="46246"/>
    <s v="C059"/>
    <x v="29"/>
    <x v="2"/>
    <s v="Retail"/>
    <s v="P011"/>
    <x v="2"/>
    <s v="Storage"/>
    <n v="1"/>
    <n v="110"/>
    <x v="5"/>
    <s v="Cash"/>
    <n v="110"/>
    <m/>
    <m/>
  </r>
  <r>
    <s v="O00094"/>
    <n v="46035"/>
    <s v="C030"/>
    <x v="35"/>
    <x v="5"/>
    <s v="SME"/>
    <s v="P014"/>
    <x v="8"/>
    <s v="Audio"/>
    <n v="1"/>
    <n v="650"/>
    <x v="0"/>
    <s v="Cash"/>
    <n v="650"/>
    <m/>
    <m/>
  </r>
  <r>
    <s v="O00095"/>
    <n v="46150"/>
    <s v="C050"/>
    <x v="9"/>
    <x v="0"/>
    <s v="Retail"/>
    <s v="P005"/>
    <x v="16"/>
    <s v="Displays"/>
    <n v="8"/>
    <n v="2200"/>
    <x v="5"/>
    <s v="Bank Transfer"/>
    <n v="17600"/>
    <m/>
    <m/>
  </r>
  <r>
    <s v="O00096"/>
    <n v="46247"/>
    <s v="C112"/>
    <x v="12"/>
    <x v="0"/>
    <s v="Retail"/>
    <s v="P004"/>
    <x v="3"/>
    <s v="Displays"/>
    <n v="5"/>
    <n v="1377.5"/>
    <x v="5"/>
    <s v="Cash"/>
    <n v="6887.5"/>
    <m/>
    <m/>
  </r>
  <r>
    <s v="O00097"/>
    <n v="46128"/>
    <s v="C002"/>
    <x v="55"/>
    <x v="2"/>
    <s v="Corporate"/>
    <s v="P005"/>
    <x v="16"/>
    <s v="Displays"/>
    <n v="5"/>
    <n v="2200"/>
    <x v="4"/>
    <s v="Cash"/>
    <n v="11000"/>
    <m/>
    <m/>
  </r>
  <r>
    <s v="O00098"/>
    <n v="46110"/>
    <s v="C101"/>
    <x v="3"/>
    <x v="0"/>
    <s v="Retail"/>
    <s v="P009"/>
    <x v="7"/>
    <s v="Computers"/>
    <n v="3"/>
    <n v="3100"/>
    <x v="0"/>
    <s v="Mobile Money"/>
    <n v="9300"/>
    <m/>
    <m/>
  </r>
  <r>
    <s v="O00099"/>
    <n v="46242"/>
    <s v="C110"/>
    <x v="26"/>
    <x v="0"/>
    <s v="Retail"/>
    <s v="P011"/>
    <x v="2"/>
    <s v="Storage"/>
    <n v="3"/>
    <n v="115.5"/>
    <x v="1"/>
    <s v="Bank Transfer"/>
    <n v="346.5"/>
    <m/>
    <m/>
  </r>
  <r>
    <s v="O00100"/>
    <n v="46247"/>
    <s v="C081"/>
    <x v="56"/>
    <x v="5"/>
    <s v="SME"/>
    <s v="P016"/>
    <x v="15"/>
    <s v="Networking"/>
    <n v="2"/>
    <n v="619.5"/>
    <x v="4"/>
    <s v="Card"/>
    <n v="1239"/>
    <m/>
    <m/>
  </r>
  <r>
    <s v="O00101"/>
    <n v="46082"/>
    <s v="C081"/>
    <x v="56"/>
    <x v="5"/>
    <s v="SME"/>
    <s v="P010"/>
    <x v="17"/>
    <s v="Storage"/>
    <n v="3"/>
    <n v="720"/>
    <x v="4"/>
    <s v="Mobile Money"/>
    <n v="2160"/>
    <m/>
    <m/>
  </r>
  <r>
    <s v="O00102"/>
    <n v="46201"/>
    <s v="C057"/>
    <x v="48"/>
    <x v="0"/>
    <s v="SME"/>
    <s v="P006"/>
    <x v="10"/>
    <s v="Accessories"/>
    <n v="1"/>
    <n v="152"/>
    <x v="4"/>
    <s v="Bank Transfer"/>
    <n v="152"/>
    <m/>
    <m/>
  </r>
  <r>
    <s v="O00103"/>
    <n v="46099"/>
    <s v="C102"/>
    <x v="14"/>
    <x v="4"/>
    <s v="Corporate"/>
    <s v="P002"/>
    <x v="12"/>
    <s v="Accessories"/>
    <n v="2"/>
    <n v="240"/>
    <x v="3"/>
    <s v="Card"/>
    <n v="480"/>
    <m/>
    <m/>
  </r>
  <r>
    <s v="O00104"/>
    <n v="46168"/>
    <s v="C068"/>
    <x v="57"/>
    <x v="1"/>
    <s v="SME"/>
    <s v="P014"/>
    <x v="8"/>
    <s v="Audio"/>
    <n v="3"/>
    <n v="650"/>
    <x v="3"/>
    <s v="Card"/>
    <n v="1950"/>
    <m/>
    <m/>
  </r>
  <r>
    <s v="O00105"/>
    <n v="46182"/>
    <s v="C011"/>
    <x v="58"/>
    <x v="0"/>
    <s v="Retail"/>
    <s v="P013"/>
    <x v="9"/>
    <s v="Accessories"/>
    <n v="3"/>
    <n v="320"/>
    <x v="5"/>
    <s v="Card"/>
    <n v="960"/>
    <m/>
    <m/>
  </r>
  <r>
    <s v="O00106"/>
    <n v="46187"/>
    <s v="C030"/>
    <x v="35"/>
    <x v="5"/>
    <s v="SME"/>
    <s v="P015"/>
    <x v="4"/>
    <s v="Audio"/>
    <n v="1"/>
    <n v="420"/>
    <x v="0"/>
    <s v="Mobile Money"/>
    <n v="420"/>
    <m/>
    <m/>
  </r>
  <r>
    <s v="O00107"/>
    <n v="46254"/>
    <s v="C116"/>
    <x v="59"/>
    <x v="3"/>
    <s v="SME"/>
    <s v="P015"/>
    <x v="4"/>
    <s v="Audio"/>
    <n v="1"/>
    <n v="441"/>
    <x v="3"/>
    <s v="Mobile Money"/>
    <n v="441"/>
    <m/>
    <m/>
  </r>
  <r>
    <s v="O00108"/>
    <n v="46174"/>
    <s v="C057"/>
    <x v="48"/>
    <x v="0"/>
    <s v="SME"/>
    <s v="P012"/>
    <x v="14"/>
    <s v="Storage"/>
    <n v="1"/>
    <n v="480"/>
    <x v="0"/>
    <s v="Bank Transfer"/>
    <n v="480"/>
    <m/>
    <m/>
  </r>
  <r>
    <s v="O00109"/>
    <n v="46074"/>
    <s v="C059"/>
    <x v="29"/>
    <x v="2"/>
    <s v="Retail"/>
    <s v="P010"/>
    <x v="17"/>
    <s v="Storage"/>
    <n v="10"/>
    <n v="720"/>
    <x v="4"/>
    <s v="Card"/>
    <n v="7200"/>
    <m/>
    <m/>
  </r>
  <r>
    <s v="O00110"/>
    <n v="46171"/>
    <s v="C049"/>
    <x v="60"/>
    <x v="3"/>
    <s v="Retail"/>
    <s v="P012"/>
    <x v="14"/>
    <s v="Storage"/>
    <n v="1"/>
    <n v="480"/>
    <x v="4"/>
    <s v="Cash"/>
    <n v="480"/>
    <m/>
    <m/>
  </r>
  <r>
    <s v="O00111"/>
    <n v="46168"/>
    <s v="C036"/>
    <x v="22"/>
    <x v="3"/>
    <s v="Retail"/>
    <s v="P001"/>
    <x v="11"/>
    <s v="Accessories"/>
    <n v="5"/>
    <n v="80.75"/>
    <x v="5"/>
    <s v="Cash"/>
    <n v="403.75"/>
    <m/>
    <m/>
  </r>
  <r>
    <s v="O00112"/>
    <n v="46222"/>
    <s v="C107"/>
    <x v="61"/>
    <x v="0"/>
    <s v="Unknown"/>
    <s v="P010"/>
    <x v="17"/>
    <s v="Storage"/>
    <n v="4"/>
    <n v="756"/>
    <x v="2"/>
    <s v="Card"/>
    <n v="3024"/>
    <m/>
    <m/>
  </r>
  <r>
    <s v="O00113"/>
    <n v="46182"/>
    <s v="C082"/>
    <x v="62"/>
    <x v="1"/>
    <s v="Corporate"/>
    <s v="P007"/>
    <x v="5"/>
    <s v="Computers"/>
    <n v="1"/>
    <n v="5200"/>
    <x v="0"/>
    <s v="Mobile Money"/>
    <n v="5200"/>
    <m/>
    <m/>
  </r>
  <r>
    <s v="O00114"/>
    <n v="46103"/>
    <s v="C116"/>
    <x v="59"/>
    <x v="3"/>
    <s v="SME"/>
    <s v="P002"/>
    <x v="12"/>
    <s v="Accessories"/>
    <n v="4"/>
    <n v="228"/>
    <x v="5"/>
    <s v="Bank Transfer"/>
    <n v="912"/>
    <m/>
    <m/>
  </r>
  <r>
    <s v="O00115"/>
    <n v="46047"/>
    <s v="C094"/>
    <x v="63"/>
    <x v="1"/>
    <s v="Unknown"/>
    <s v="P005"/>
    <x v="16"/>
    <s v="Displays"/>
    <n v="5"/>
    <n v="2200"/>
    <x v="0"/>
    <s v="Cash"/>
    <n v="11000"/>
    <m/>
    <m/>
  </r>
  <r>
    <s v="O00116"/>
    <n v="46057"/>
    <s v="C023"/>
    <x v="2"/>
    <x v="1"/>
    <s v="Retail"/>
    <s v="P007"/>
    <x v="5"/>
    <s v="Computers"/>
    <n v="4"/>
    <n v="5200"/>
    <x v="5"/>
    <s v="Bank Transfer"/>
    <n v="20800"/>
    <m/>
    <m/>
  </r>
  <r>
    <s v="O00117"/>
    <n v="46089"/>
    <s v="C107"/>
    <x v="61"/>
    <x v="0"/>
    <s v="SME"/>
    <s v="P006"/>
    <x v="10"/>
    <s v="Accessories"/>
    <n v="6"/>
    <n v="160"/>
    <x v="2"/>
    <s v="Bank Transfer"/>
    <n v="960"/>
    <m/>
    <m/>
  </r>
  <r>
    <s v="O00118"/>
    <n v="46143"/>
    <s v="C103"/>
    <x v="64"/>
    <x v="1"/>
    <s v="Corporate"/>
    <s v="P004"/>
    <x v="3"/>
    <s v="Displays"/>
    <n v="8"/>
    <n v="1450"/>
    <x v="3"/>
    <s v="Cash"/>
    <n v="11600"/>
    <m/>
    <m/>
  </r>
  <r>
    <s v="O00119"/>
    <n v="46117"/>
    <s v="C109"/>
    <x v="35"/>
    <x v="1"/>
    <s v="SME"/>
    <s v="P018"/>
    <x v="0"/>
    <s v="Networking"/>
    <n v="1"/>
    <n v="95"/>
    <x v="4"/>
    <s v="Bank Transfer"/>
    <n v="95"/>
    <m/>
    <m/>
  </r>
  <r>
    <s v="O00120"/>
    <n v="46140"/>
    <s v="C069"/>
    <x v="65"/>
    <x v="5"/>
    <s v="SME"/>
    <s v="P004"/>
    <x v="3"/>
    <s v="Displays"/>
    <n v="2"/>
    <n v="1450"/>
    <x v="5"/>
    <s v="Cash"/>
    <n v="2900"/>
    <m/>
    <m/>
  </r>
  <r>
    <s v="O00121"/>
    <n v="46051"/>
    <s v="C106"/>
    <x v="4"/>
    <x v="3"/>
    <s v="Corporate"/>
    <s v="P012"/>
    <x v="14"/>
    <s v="Storage"/>
    <n v="3"/>
    <n v="480"/>
    <x v="4"/>
    <s v="Bank Transfer"/>
    <n v="1440"/>
    <m/>
    <m/>
  </r>
  <r>
    <s v="O00122"/>
    <n v="46189"/>
    <s v="C118"/>
    <x v="51"/>
    <x v="0"/>
    <s v="SME"/>
    <s v="P008"/>
    <x v="1"/>
    <s v="Computers"/>
    <n v="1"/>
    <n v="8200"/>
    <x v="0"/>
    <s v="Bank Transfer"/>
    <n v="8200"/>
    <m/>
    <m/>
  </r>
  <r>
    <s v="O00123"/>
    <n v="46053"/>
    <s v="C084"/>
    <x v="66"/>
    <x v="4"/>
    <s v="Corporate"/>
    <s v="P014"/>
    <x v="8"/>
    <s v="Audio"/>
    <n v="1"/>
    <n v="617.5"/>
    <x v="2"/>
    <s v="Cash"/>
    <n v="617.5"/>
    <m/>
    <m/>
  </r>
  <r>
    <s v="O00124"/>
    <n v="46084"/>
    <s v="C015"/>
    <x v="7"/>
    <x v="0"/>
    <s v="Corporate"/>
    <s v="P004"/>
    <x v="3"/>
    <s v="Displays"/>
    <n v="5"/>
    <n v="1450"/>
    <x v="1"/>
    <s v="Cash"/>
    <n v="7250"/>
    <m/>
    <m/>
  </r>
  <r>
    <s v="O00125"/>
    <n v="46131"/>
    <s v="C048"/>
    <x v="67"/>
    <x v="3"/>
    <s v="Corporate"/>
    <s v="P018"/>
    <x v="0"/>
    <s v="Networking"/>
    <n v="2"/>
    <n v="95"/>
    <x v="1"/>
    <s v="Mobile Money"/>
    <n v="190"/>
    <m/>
    <m/>
  </r>
  <r>
    <s v="O00126"/>
    <n v="46181"/>
    <s v="C107"/>
    <x v="61"/>
    <x v="0"/>
    <s v="SME"/>
    <s v="P016"/>
    <x v="15"/>
    <s v="Networking"/>
    <n v="2"/>
    <n v="590"/>
    <x v="4"/>
    <s v="Bank Transfer"/>
    <n v="1180"/>
    <m/>
    <m/>
  </r>
  <r>
    <s v="O00127"/>
    <n v="46137"/>
    <s v="C028"/>
    <x v="68"/>
    <x v="3"/>
    <s v="Retail"/>
    <s v="P015"/>
    <x v="4"/>
    <s v="Audio"/>
    <n v="8"/>
    <n v="420"/>
    <x v="4"/>
    <s v="Bank Transfer"/>
    <n v="3360"/>
    <m/>
    <m/>
  </r>
  <r>
    <s v="O00128"/>
    <n v="46039"/>
    <s v="C070"/>
    <x v="69"/>
    <x v="1"/>
    <s v="Corporate"/>
    <s v="P012"/>
    <x v="14"/>
    <s v="Storage"/>
    <n v="2"/>
    <n v="480"/>
    <x v="4"/>
    <s v="Cash"/>
    <n v="960"/>
    <m/>
    <m/>
  </r>
  <r>
    <s v="O00129"/>
    <n v="46188"/>
    <s v="C012"/>
    <x v="15"/>
    <x v="3"/>
    <s v="SME"/>
    <s v="P007"/>
    <x v="5"/>
    <s v="Computers"/>
    <n v="3"/>
    <n v="4940"/>
    <x v="4"/>
    <s v="Bank Transfer"/>
    <n v="14820"/>
    <m/>
    <m/>
  </r>
  <r>
    <s v="O00130"/>
    <n v="46225"/>
    <s v="C032"/>
    <x v="44"/>
    <x v="4"/>
    <s v="Corporate"/>
    <s v="P005"/>
    <x v="16"/>
    <s v="Displays"/>
    <n v="2"/>
    <n v="2090"/>
    <x v="5"/>
    <s v="Card"/>
    <n v="4180"/>
    <m/>
    <m/>
  </r>
  <r>
    <s v="O00131"/>
    <n v="46232"/>
    <s v="C076"/>
    <x v="70"/>
    <x v="3"/>
    <s v="Corporate"/>
    <s v="P007"/>
    <x v="5"/>
    <s v="Computers"/>
    <n v="5"/>
    <n v="5200"/>
    <x v="3"/>
    <s v="Mobile Money"/>
    <n v="26000"/>
    <m/>
    <m/>
  </r>
  <r>
    <s v="O00132"/>
    <n v="46057"/>
    <s v="C036"/>
    <x v="22"/>
    <x v="3"/>
    <s v="Retail"/>
    <s v="P005"/>
    <x v="16"/>
    <s v="Displays"/>
    <n v="2"/>
    <n v="2200"/>
    <x v="4"/>
    <s v="Mobile Money"/>
    <n v="4400"/>
    <m/>
    <m/>
  </r>
  <r>
    <s v="O00133"/>
    <n v="46115"/>
    <s v="C017"/>
    <x v="48"/>
    <x v="3"/>
    <s v="Retail"/>
    <s v="P001"/>
    <x v="11"/>
    <s v="Accessories"/>
    <n v="4"/>
    <n v="85"/>
    <x v="5"/>
    <s v="Bank Transfer"/>
    <n v="340"/>
    <m/>
    <m/>
  </r>
  <r>
    <s v="O00134"/>
    <n v="46091"/>
    <s v="C003"/>
    <x v="23"/>
    <x v="1"/>
    <s v="Corporate"/>
    <s v="P006"/>
    <x v="10"/>
    <s v="Accessories"/>
    <n v="1"/>
    <n v="160"/>
    <x v="5"/>
    <s v="Mobile Money"/>
    <n v="160"/>
    <m/>
    <m/>
  </r>
  <r>
    <s v="O00135"/>
    <n v="46145"/>
    <s v="C096"/>
    <x v="71"/>
    <x v="1"/>
    <s v="SME"/>
    <s v="P003"/>
    <x v="13"/>
    <s v="Accessories"/>
    <n v="2"/>
    <n v="180"/>
    <x v="5"/>
    <s v="Mobile Money"/>
    <n v="360"/>
    <m/>
    <m/>
  </r>
  <r>
    <s v="O00136"/>
    <n v="46080"/>
    <s v="C058"/>
    <x v="72"/>
    <x v="4"/>
    <s v="SME"/>
    <s v="P017"/>
    <x v="6"/>
    <s v="Networking"/>
    <n v="6"/>
    <n v="760"/>
    <x v="0"/>
    <s v="Bank Transfer"/>
    <n v="4560"/>
    <m/>
    <m/>
  </r>
  <r>
    <s v="O00137"/>
    <n v="46039"/>
    <s v="C059"/>
    <x v="29"/>
    <x v="2"/>
    <s v="Retail"/>
    <s v="P001"/>
    <x v="11"/>
    <s v="Accessories"/>
    <n v="10"/>
    <n v="85"/>
    <x v="1"/>
    <s v="Mobile Money"/>
    <n v="850"/>
    <m/>
    <m/>
  </r>
  <r>
    <s v="O00138"/>
    <n v="46042"/>
    <s v="C063"/>
    <x v="27"/>
    <x v="3"/>
    <s v="SME"/>
    <s v="P015"/>
    <x v="4"/>
    <s v="Audio"/>
    <n v="5"/>
    <n v="420"/>
    <x v="5"/>
    <s v="Card"/>
    <n v="2100"/>
    <m/>
    <m/>
  </r>
  <r>
    <s v="O00139"/>
    <n v="46094"/>
    <s v="C009"/>
    <x v="73"/>
    <x v="3"/>
    <s v="Retail"/>
    <s v="P005"/>
    <x v="16"/>
    <s v="Displays"/>
    <n v="3"/>
    <n v="2310"/>
    <x v="5"/>
    <s v="Bank Transfer"/>
    <n v="6930"/>
    <m/>
    <m/>
  </r>
  <r>
    <s v="O00140"/>
    <n v="46099"/>
    <s v="C049"/>
    <x v="60"/>
    <x v="3"/>
    <s v="Retail"/>
    <s v="P017"/>
    <x v="6"/>
    <s v="Networking"/>
    <n v="2"/>
    <n v="798"/>
    <x v="1"/>
    <s v="Mobile Money"/>
    <n v="1596"/>
    <m/>
    <m/>
  </r>
  <r>
    <s v="O00141"/>
    <n v="46242"/>
    <s v="C102"/>
    <x v="14"/>
    <x v="4"/>
    <s v="Corporate"/>
    <s v="P004"/>
    <x v="3"/>
    <s v="Displays"/>
    <n v="3"/>
    <n v="1522.5"/>
    <x v="0"/>
    <s v="Card"/>
    <n v="4567.5"/>
    <m/>
    <m/>
  </r>
  <r>
    <s v="O00142"/>
    <n v="46251"/>
    <s v="C056"/>
    <x v="74"/>
    <x v="4"/>
    <s v="Corporate"/>
    <s v="P015"/>
    <x v="4"/>
    <s v="Audio"/>
    <n v="1"/>
    <n v="420"/>
    <x v="1"/>
    <s v="Cash"/>
    <n v="420"/>
    <m/>
    <m/>
  </r>
  <r>
    <s v="O00143"/>
    <n v="46104"/>
    <s v="C054"/>
    <x v="25"/>
    <x v="2"/>
    <s v="SME"/>
    <s v="P004"/>
    <x v="3"/>
    <s v="Displays"/>
    <n v="2"/>
    <n v="1450"/>
    <x v="2"/>
    <s v="Card"/>
    <n v="2900"/>
    <m/>
    <m/>
  </r>
  <r>
    <s v="O00144"/>
    <n v="46041"/>
    <s v="C088"/>
    <x v="75"/>
    <x v="3"/>
    <s v="Retail"/>
    <s v="P016"/>
    <x v="15"/>
    <s v="Networking"/>
    <n v="1"/>
    <n v="560.5"/>
    <x v="4"/>
    <s v="Cash"/>
    <n v="560.5"/>
    <m/>
    <m/>
  </r>
  <r>
    <s v="O00145"/>
    <n v="46231"/>
    <s v="C013"/>
    <x v="41"/>
    <x v="0"/>
    <s v="Retail"/>
    <s v="P012"/>
    <x v="14"/>
    <s v="Storage"/>
    <n v="1"/>
    <n v="456"/>
    <x v="5"/>
    <s v="Bank Transfer"/>
    <n v="456"/>
    <m/>
    <m/>
  </r>
  <r>
    <s v="O00146"/>
    <n v="46129"/>
    <s v="C086"/>
    <x v="12"/>
    <x v="4"/>
    <s v="SME"/>
    <s v="P004"/>
    <x v="3"/>
    <s v="Displays"/>
    <n v="2"/>
    <n v="1450"/>
    <x v="0"/>
    <s v="Mobile Money"/>
    <n v="2900"/>
    <m/>
    <m/>
  </r>
  <r>
    <s v="O00147"/>
    <n v="46114"/>
    <s v="C037"/>
    <x v="76"/>
    <x v="1"/>
    <s v="SME"/>
    <s v="P010"/>
    <x v="17"/>
    <s v="Storage"/>
    <n v="1"/>
    <n v="756"/>
    <x v="3"/>
    <s v="Card"/>
    <n v="756"/>
    <m/>
    <m/>
  </r>
  <r>
    <s v="O00148"/>
    <n v="46081"/>
    <s v="C085"/>
    <x v="5"/>
    <x v="1"/>
    <s v="SME"/>
    <s v="P016"/>
    <x v="15"/>
    <s v="Networking"/>
    <n v="5"/>
    <n v="590"/>
    <x v="5"/>
    <s v="Bank Transfer"/>
    <n v="2950"/>
    <m/>
    <m/>
  </r>
  <r>
    <s v="O00149"/>
    <n v="46170"/>
    <s v="C015"/>
    <x v="7"/>
    <x v="0"/>
    <s v="Corporate"/>
    <s v="P009"/>
    <x v="7"/>
    <s v="Computers"/>
    <n v="1"/>
    <n v="3100"/>
    <x v="5"/>
    <s v="Mobile Money"/>
    <n v="3100"/>
    <m/>
    <m/>
  </r>
  <r>
    <s v="O00150"/>
    <n v="46031"/>
    <s v="C078"/>
    <x v="49"/>
    <x v="5"/>
    <s v="SME"/>
    <s v="P009"/>
    <x v="7"/>
    <s v="Computers"/>
    <n v="1"/>
    <n v="3100"/>
    <x v="2"/>
    <s v="Bank Transfer"/>
    <n v="3100"/>
    <m/>
    <m/>
  </r>
  <r>
    <s v="O00151"/>
    <n v="46246"/>
    <s v="C001"/>
    <x v="46"/>
    <x v="1"/>
    <s v="SME"/>
    <s v="P006"/>
    <x v="10"/>
    <s v="Accessories"/>
    <n v="1"/>
    <n v="160"/>
    <x v="4"/>
    <s v="Card"/>
    <n v="160"/>
    <m/>
    <m/>
  </r>
  <r>
    <s v="O00152"/>
    <n v="46047"/>
    <s v="C095"/>
    <x v="77"/>
    <x v="0"/>
    <s v="Unknown"/>
    <s v="P001"/>
    <x v="11"/>
    <s v="Accessories"/>
    <n v="3"/>
    <n v="85"/>
    <x v="1"/>
    <s v="Cash"/>
    <n v="255"/>
    <m/>
    <m/>
  </r>
  <r>
    <s v="O00153"/>
    <n v="46064"/>
    <s v="C059"/>
    <x v="29"/>
    <x v="2"/>
    <s v="Retail"/>
    <s v="P011"/>
    <x v="2"/>
    <s v="Storage"/>
    <n v="2"/>
    <n v="110"/>
    <x v="5"/>
    <s v="Mobile Money"/>
    <n v="220"/>
    <m/>
    <m/>
  </r>
  <r>
    <s v="O00154"/>
    <n v="46063"/>
    <s v="C114"/>
    <x v="17"/>
    <x v="5"/>
    <s v="Corporate"/>
    <s v="P002"/>
    <x v="12"/>
    <s v="Accessories"/>
    <n v="1"/>
    <n v="252"/>
    <x v="4"/>
    <s v="Mobile Money"/>
    <n v="252"/>
    <m/>
    <m/>
  </r>
  <r>
    <s v="O00155"/>
    <n v="46193"/>
    <s v="C035"/>
    <x v="59"/>
    <x v="5"/>
    <s v="Unknown"/>
    <s v="P015"/>
    <x v="4"/>
    <s v="Audio"/>
    <n v="2"/>
    <n v="441"/>
    <x v="1"/>
    <s v="Cash"/>
    <n v="882"/>
    <m/>
    <m/>
  </r>
  <r>
    <s v="O00156"/>
    <n v="46217"/>
    <s v="C035"/>
    <x v="59"/>
    <x v="5"/>
    <s v="Retail"/>
    <s v="P007"/>
    <x v="5"/>
    <s v="Computers"/>
    <n v="2"/>
    <n v="5200"/>
    <x v="1"/>
    <s v="Mobile Money"/>
    <n v="10400"/>
    <m/>
    <m/>
  </r>
  <r>
    <s v="O00157"/>
    <n v="46158"/>
    <s v="C037"/>
    <x v="76"/>
    <x v="1"/>
    <s v="SME"/>
    <s v="P016"/>
    <x v="15"/>
    <s v="Networking"/>
    <n v="3"/>
    <n v="560.5"/>
    <x v="3"/>
    <s v="Cash"/>
    <n v="1681.5"/>
    <m/>
    <m/>
  </r>
  <r>
    <s v="O00158"/>
    <n v="46025"/>
    <s v="C077"/>
    <x v="8"/>
    <x v="3"/>
    <s v="Retail"/>
    <s v="P002"/>
    <x v="12"/>
    <s v="Accessories"/>
    <n v="1"/>
    <n v="240"/>
    <x v="3"/>
    <s v="Bank Transfer"/>
    <n v="240"/>
    <m/>
    <m/>
  </r>
  <r>
    <s v="O00159"/>
    <n v="46054"/>
    <s v="C038"/>
    <x v="78"/>
    <x v="5"/>
    <s v="SME"/>
    <s v="P011"/>
    <x v="2"/>
    <s v="Storage"/>
    <n v="1"/>
    <n v="110"/>
    <x v="3"/>
    <s v="Card"/>
    <n v="110"/>
    <m/>
    <m/>
  </r>
  <r>
    <s v="O00160"/>
    <n v="46204"/>
    <s v="C049"/>
    <x v="60"/>
    <x v="3"/>
    <s v="Retail"/>
    <s v="P018"/>
    <x v="0"/>
    <s v="Networking"/>
    <n v="1"/>
    <n v="99.75"/>
    <x v="0"/>
    <s v="Bank Transfer"/>
    <n v="99.75"/>
    <m/>
    <m/>
  </r>
  <r>
    <s v="O00161"/>
    <n v="46244"/>
    <s v="C010"/>
    <x v="47"/>
    <x v="0"/>
    <s v="Retail"/>
    <s v="P013"/>
    <x v="9"/>
    <s v="Accessories"/>
    <n v="3"/>
    <n v="320"/>
    <x v="4"/>
    <s v="Cash"/>
    <n v="960"/>
    <m/>
    <m/>
  </r>
  <r>
    <s v="O00162"/>
    <n v="46244"/>
    <s v="C118"/>
    <x v="51"/>
    <x v="0"/>
    <s v="SME"/>
    <s v="P003"/>
    <x v="13"/>
    <s v="Accessories"/>
    <n v="1"/>
    <n v="180"/>
    <x v="5"/>
    <s v="Cash"/>
    <n v="180"/>
    <m/>
    <m/>
  </r>
  <r>
    <s v="O00163"/>
    <n v="46098"/>
    <s v="C091"/>
    <x v="24"/>
    <x v="4"/>
    <s v="Retail"/>
    <s v="P014"/>
    <x v="8"/>
    <s v="Audio"/>
    <n v="1"/>
    <n v="617.5"/>
    <x v="2"/>
    <s v="Card"/>
    <n v="617.5"/>
    <m/>
    <m/>
  </r>
  <r>
    <s v="O00164"/>
    <n v="46236"/>
    <s v="C103"/>
    <x v="64"/>
    <x v="1"/>
    <s v="Corporate"/>
    <s v="P015"/>
    <x v="4"/>
    <s v="Audio"/>
    <n v="3"/>
    <n v="420"/>
    <x v="4"/>
    <s v="Cash"/>
    <n v="1260"/>
    <m/>
    <m/>
  </r>
  <r>
    <s v="O00165"/>
    <n v="46086"/>
    <s v="C109"/>
    <x v="35"/>
    <x v="1"/>
    <s v="SME"/>
    <s v="P004"/>
    <x v="3"/>
    <s v="Displays"/>
    <n v="2"/>
    <n v="1450"/>
    <x v="5"/>
    <s v="Mobile Money"/>
    <n v="2900"/>
    <m/>
    <m/>
  </r>
  <r>
    <s v="O00166"/>
    <n v="46214"/>
    <s v="C051"/>
    <x v="34"/>
    <x v="4"/>
    <s v="Retail"/>
    <s v="P010"/>
    <x v="17"/>
    <s v="Storage"/>
    <n v="1"/>
    <n v="720"/>
    <x v="3"/>
    <s v="Mobile Money"/>
    <n v="720"/>
    <m/>
    <m/>
  </r>
  <r>
    <s v="O00167"/>
    <n v="46159"/>
    <s v="C066"/>
    <x v="38"/>
    <x v="5"/>
    <s v="Retail"/>
    <s v="P004"/>
    <x v="3"/>
    <s v="Displays"/>
    <n v="2"/>
    <n v="1450"/>
    <x v="2"/>
    <s v="Card"/>
    <n v="2900"/>
    <m/>
    <m/>
  </r>
  <r>
    <s v="O00168"/>
    <n v="46061"/>
    <s v="C031"/>
    <x v="79"/>
    <x v="0"/>
    <s v="Retail"/>
    <s v="P004"/>
    <x v="3"/>
    <s v="Displays"/>
    <n v="1"/>
    <n v="1450"/>
    <x v="5"/>
    <s v="Card"/>
    <n v="1450"/>
    <m/>
    <m/>
  </r>
  <r>
    <s v="O00169"/>
    <n v="46069"/>
    <s v="C098"/>
    <x v="50"/>
    <x v="4"/>
    <s v="Unknown"/>
    <s v="P003"/>
    <x v="13"/>
    <s v="Accessories"/>
    <n v="8"/>
    <n v="180"/>
    <x v="1"/>
    <s v="Cash"/>
    <n v="1440"/>
    <m/>
    <m/>
  </r>
  <r>
    <s v="O00170"/>
    <n v="46245"/>
    <s v="C088"/>
    <x v="75"/>
    <x v="3"/>
    <s v="Retail"/>
    <s v="P011"/>
    <x v="2"/>
    <s v="Storage"/>
    <n v="8"/>
    <n v="110"/>
    <x v="3"/>
    <s v="Cash"/>
    <n v="880"/>
    <m/>
    <m/>
  </r>
  <r>
    <s v="O00171"/>
    <n v="46137"/>
    <s v="C009"/>
    <x v="73"/>
    <x v="3"/>
    <s v="Retail"/>
    <s v="P016"/>
    <x v="15"/>
    <s v="Networking"/>
    <n v="3"/>
    <n v="590"/>
    <x v="5"/>
    <s v="Mobile Money"/>
    <n v="1770"/>
    <m/>
    <m/>
  </r>
  <r>
    <s v="O00172"/>
    <n v="46042"/>
    <s v="C046"/>
    <x v="16"/>
    <x v="2"/>
    <s v="Retail"/>
    <s v="P017"/>
    <x v="6"/>
    <s v="Networking"/>
    <n v="1"/>
    <n v="760"/>
    <x v="4"/>
    <s v="Mobile Money"/>
    <n v="760"/>
    <m/>
    <m/>
  </r>
  <r>
    <s v="O00173"/>
    <n v="46043"/>
    <s v="C048"/>
    <x v="67"/>
    <x v="3"/>
    <s v="Corporate"/>
    <s v="P010"/>
    <x v="17"/>
    <s v="Storage"/>
    <n v="3"/>
    <n v="684"/>
    <x v="5"/>
    <s v="Cash"/>
    <n v="2052"/>
    <m/>
    <m/>
  </r>
  <r>
    <s v="O00174"/>
    <n v="46226"/>
    <s v="C060"/>
    <x v="53"/>
    <x v="4"/>
    <s v="Corporate"/>
    <s v="P018"/>
    <x v="0"/>
    <s v="Networking"/>
    <n v="3"/>
    <n v="90.25"/>
    <x v="1"/>
    <s v="Card"/>
    <n v="270.75"/>
    <m/>
    <m/>
  </r>
  <r>
    <s v="O00175"/>
    <n v="46152"/>
    <s v="C042"/>
    <x v="11"/>
    <x v="0"/>
    <s v="SME"/>
    <s v="P016"/>
    <x v="15"/>
    <s v="Networking"/>
    <n v="1"/>
    <n v="560.5"/>
    <x v="1"/>
    <s v="Mobile Money"/>
    <n v="560.5"/>
    <m/>
    <m/>
  </r>
  <r>
    <s v="O00176"/>
    <n v="46206"/>
    <s v="C104"/>
    <x v="80"/>
    <x v="4"/>
    <s v="SME"/>
    <s v="P011"/>
    <x v="2"/>
    <s v="Storage"/>
    <n v="1"/>
    <n v="110"/>
    <x v="4"/>
    <s v="Card"/>
    <n v="110"/>
    <m/>
    <m/>
  </r>
  <r>
    <s v="O00177"/>
    <n v="46136"/>
    <s v="C091"/>
    <x v="24"/>
    <x v="4"/>
    <s v="Retail"/>
    <s v="P015"/>
    <x v="4"/>
    <s v="Audio"/>
    <n v="2"/>
    <n v="441"/>
    <x v="3"/>
    <s v="Bank Transfer"/>
    <n v="882"/>
    <m/>
    <m/>
  </r>
  <r>
    <s v="O00178"/>
    <n v="46123"/>
    <s v="C048"/>
    <x v="67"/>
    <x v="3"/>
    <s v="Corporate"/>
    <s v="P010"/>
    <x v="17"/>
    <s v="Storage"/>
    <n v="2"/>
    <n v="720"/>
    <x v="0"/>
    <s v="Mobile Money"/>
    <n v="1440"/>
    <m/>
    <m/>
  </r>
  <r>
    <s v="O00179"/>
    <n v="46040"/>
    <s v="C102"/>
    <x v="14"/>
    <x v="4"/>
    <s v="Corporate"/>
    <s v="P011"/>
    <x v="2"/>
    <s v="Storage"/>
    <n v="1"/>
    <n v="115.5"/>
    <x v="0"/>
    <s v="Cash"/>
    <n v="115.5"/>
    <m/>
    <m/>
  </r>
  <r>
    <s v="O00180"/>
    <n v="46209"/>
    <s v="C037"/>
    <x v="76"/>
    <x v="1"/>
    <s v="SME"/>
    <s v="P009"/>
    <x v="7"/>
    <s v="Computers"/>
    <n v="5"/>
    <n v="3255"/>
    <x v="3"/>
    <s v="Bank Transfer"/>
    <n v="16275"/>
    <m/>
    <m/>
  </r>
  <r>
    <s v="O00181"/>
    <n v="46258"/>
    <s v="C011"/>
    <x v="58"/>
    <x v="0"/>
    <s v="Retail"/>
    <s v="P005"/>
    <x v="16"/>
    <s v="Displays"/>
    <n v="2"/>
    <n v="2200"/>
    <x v="3"/>
    <s v="Mobile Money"/>
    <n v="4400"/>
    <m/>
    <m/>
  </r>
  <r>
    <s v="O00182"/>
    <n v="46120"/>
    <s v="C040"/>
    <x v="8"/>
    <x v="3"/>
    <s v="Corporate"/>
    <s v="P018"/>
    <x v="0"/>
    <s v="Networking"/>
    <n v="3"/>
    <n v="95"/>
    <x v="3"/>
    <s v="Mobile Money"/>
    <n v="285"/>
    <m/>
    <m/>
  </r>
  <r>
    <s v="O00183"/>
    <n v="46154"/>
    <s v="C083"/>
    <x v="6"/>
    <x v="2"/>
    <s v="SME"/>
    <s v="P014"/>
    <x v="8"/>
    <s v="Audio"/>
    <n v="2"/>
    <n v="650"/>
    <x v="2"/>
    <s v="Card"/>
    <n v="1300"/>
    <m/>
    <m/>
  </r>
  <r>
    <s v="O00184"/>
    <n v="46220"/>
    <s v="C028"/>
    <x v="68"/>
    <x v="3"/>
    <s v="Retail"/>
    <s v="P011"/>
    <x v="2"/>
    <s v="Storage"/>
    <n v="2"/>
    <n v="110"/>
    <x v="3"/>
    <s v="Card"/>
    <n v="220"/>
    <m/>
    <m/>
  </r>
  <r>
    <s v="O00185"/>
    <n v="46240"/>
    <s v="C010"/>
    <x v="47"/>
    <x v="0"/>
    <s v="Retail"/>
    <s v="P010"/>
    <x v="17"/>
    <s v="Storage"/>
    <n v="4"/>
    <n v="756"/>
    <x v="5"/>
    <s v="Mobile Money"/>
    <n v="3024"/>
    <m/>
    <m/>
  </r>
  <r>
    <s v="O00186"/>
    <n v="46248"/>
    <s v="C085"/>
    <x v="5"/>
    <x v="1"/>
    <s v="SME"/>
    <s v="P011"/>
    <x v="2"/>
    <s v="Storage"/>
    <n v="4"/>
    <n v="110"/>
    <x v="5"/>
    <s v="Cash"/>
    <n v="440"/>
    <m/>
    <m/>
  </r>
  <r>
    <s v="O00187"/>
    <n v="46070"/>
    <s v="C020"/>
    <x v="81"/>
    <x v="1"/>
    <s v="SME"/>
    <s v="P006"/>
    <x v="10"/>
    <s v="Accessories"/>
    <n v="4"/>
    <n v="168"/>
    <x v="3"/>
    <s v="Cash"/>
    <n v="672"/>
    <m/>
    <m/>
  </r>
  <r>
    <s v="O00188"/>
    <n v="46117"/>
    <s v="C006"/>
    <x v="16"/>
    <x v="3"/>
    <s v="Corporate"/>
    <s v="P014"/>
    <x v="8"/>
    <s v="Audio"/>
    <n v="3"/>
    <n v="650"/>
    <x v="1"/>
    <s v="Bank Transfer"/>
    <n v="1950"/>
    <m/>
    <m/>
  </r>
  <r>
    <s v="O00189"/>
    <n v="46083"/>
    <s v="C097"/>
    <x v="37"/>
    <x v="3"/>
    <s v="Retail"/>
    <s v="P015"/>
    <x v="4"/>
    <s v="Audio"/>
    <n v="2"/>
    <n v="420"/>
    <x v="1"/>
    <s v="Card"/>
    <n v="840"/>
    <m/>
    <m/>
  </r>
  <r>
    <s v="O00190"/>
    <n v="46142"/>
    <s v="C048"/>
    <x v="67"/>
    <x v="3"/>
    <s v="Corporate"/>
    <s v="P015"/>
    <x v="4"/>
    <s v="Audio"/>
    <n v="4"/>
    <n v="420"/>
    <x v="5"/>
    <s v="Cash"/>
    <n v="1680"/>
    <m/>
    <m/>
  </r>
  <r>
    <s v="O00191"/>
    <n v="46229"/>
    <s v="C021"/>
    <x v="82"/>
    <x v="0"/>
    <s v="Retail"/>
    <s v="P007"/>
    <x v="5"/>
    <s v="Computers"/>
    <n v="3"/>
    <n v="5200"/>
    <x v="4"/>
    <s v="Cash"/>
    <n v="15600"/>
    <m/>
    <m/>
  </r>
  <r>
    <s v="O00192"/>
    <n v="46165"/>
    <s v="C112"/>
    <x v="12"/>
    <x v="0"/>
    <s v="Retail"/>
    <s v="P012"/>
    <x v="14"/>
    <s v="Storage"/>
    <n v="6"/>
    <n v="504"/>
    <x v="4"/>
    <s v="Bank Transfer"/>
    <n v="3024"/>
    <m/>
    <m/>
  </r>
  <r>
    <s v="O00193"/>
    <n v="46093"/>
    <s v="C011"/>
    <x v="58"/>
    <x v="0"/>
    <s v="Retail"/>
    <s v="P006"/>
    <x v="10"/>
    <s v="Accessories"/>
    <n v="2"/>
    <n v="168"/>
    <x v="3"/>
    <s v="Cash"/>
    <n v="336"/>
    <m/>
    <m/>
  </r>
  <r>
    <s v="O00194"/>
    <n v="46233"/>
    <s v="C012"/>
    <x v="15"/>
    <x v="3"/>
    <s v="SME"/>
    <s v="P008"/>
    <x v="1"/>
    <s v="Computers"/>
    <n v="2"/>
    <n v="8200"/>
    <x v="4"/>
    <s v="Cash"/>
    <n v="16400"/>
    <m/>
    <m/>
  </r>
  <r>
    <s v="O00195"/>
    <n v="46152"/>
    <s v="C007"/>
    <x v="48"/>
    <x v="1"/>
    <s v="Corporate"/>
    <s v="P013"/>
    <x v="9"/>
    <s v="Accessories"/>
    <n v="2"/>
    <n v="320"/>
    <x v="4"/>
    <s v="Bank Transfer"/>
    <n v="640"/>
    <m/>
    <m/>
  </r>
  <r>
    <s v="O00196"/>
    <n v="46105"/>
    <s v="C029"/>
    <x v="31"/>
    <x v="1"/>
    <s v="SME"/>
    <s v="P001"/>
    <x v="11"/>
    <s v="Accessories"/>
    <n v="6"/>
    <n v="85"/>
    <x v="3"/>
    <s v="Card"/>
    <n v="510"/>
    <m/>
    <m/>
  </r>
  <r>
    <s v="O00197"/>
    <n v="46258"/>
    <s v="C005"/>
    <x v="20"/>
    <x v="2"/>
    <s v="Retail"/>
    <s v="P010"/>
    <x v="17"/>
    <s v="Storage"/>
    <n v="4"/>
    <n v="720"/>
    <x v="0"/>
    <s v="Cash"/>
    <n v="2880"/>
    <m/>
    <m/>
  </r>
  <r>
    <s v="O00198"/>
    <n v="46255"/>
    <s v="C058"/>
    <x v="72"/>
    <x v="4"/>
    <s v="SME"/>
    <s v="P001"/>
    <x v="11"/>
    <s v="Accessories"/>
    <n v="1"/>
    <n v="85"/>
    <x v="3"/>
    <s v="Card"/>
    <n v="85"/>
    <m/>
    <m/>
  </r>
  <r>
    <s v="O00199"/>
    <n v="46132"/>
    <s v="C071"/>
    <x v="46"/>
    <x v="5"/>
    <s v="Corporate"/>
    <s v="P017"/>
    <x v="6"/>
    <s v="Networking"/>
    <n v="1"/>
    <n v="760"/>
    <x v="3"/>
    <s v="Bank Transfer"/>
    <n v="760"/>
    <m/>
    <m/>
  </r>
  <r>
    <s v="O00200"/>
    <n v="46085"/>
    <s v="C016"/>
    <x v="83"/>
    <x v="0"/>
    <s v="Corporate"/>
    <s v="P002"/>
    <x v="12"/>
    <s v="Accessories"/>
    <n v="2"/>
    <n v="252"/>
    <x v="1"/>
    <s v="Mobile Money"/>
    <n v="504"/>
    <m/>
    <m/>
  </r>
  <r>
    <s v="O00201"/>
    <n v="46176"/>
    <s v="C015"/>
    <x v="7"/>
    <x v="0"/>
    <s v="Corporate"/>
    <s v="P016"/>
    <x v="15"/>
    <s v="Networking"/>
    <n v="2"/>
    <n v="619.5"/>
    <x v="5"/>
    <s v="Card"/>
    <n v="1239"/>
    <m/>
    <m/>
  </r>
  <r>
    <s v="O00202"/>
    <n v="46098"/>
    <s v="C092"/>
    <x v="78"/>
    <x v="5"/>
    <s v="Corporate"/>
    <s v="P005"/>
    <x v="16"/>
    <s v="Displays"/>
    <n v="2"/>
    <n v="2310"/>
    <x v="2"/>
    <s v="Card"/>
    <n v="4620"/>
    <m/>
    <m/>
  </r>
  <r>
    <s v="O00203"/>
    <n v="46071"/>
    <s v="C074"/>
    <x v="43"/>
    <x v="2"/>
    <s v="SME"/>
    <s v="P014"/>
    <x v="8"/>
    <s v="Audio"/>
    <n v="3"/>
    <n v="617.5"/>
    <x v="5"/>
    <s v="Bank Transfer"/>
    <n v="1852.5"/>
    <m/>
    <m/>
  </r>
  <r>
    <s v="O00204"/>
    <n v="46163"/>
    <s v="C009"/>
    <x v="73"/>
    <x v="3"/>
    <s v="Retail"/>
    <s v="P017"/>
    <x v="6"/>
    <s v="Networking"/>
    <n v="2"/>
    <n v="798"/>
    <x v="5"/>
    <s v="Mobile Money"/>
    <n v="1596"/>
    <m/>
    <m/>
  </r>
  <r>
    <s v="O00205"/>
    <n v="46035"/>
    <s v="C050"/>
    <x v="9"/>
    <x v="0"/>
    <s v="Retail"/>
    <s v="P016"/>
    <x v="15"/>
    <s v="Networking"/>
    <n v="3"/>
    <n v="590"/>
    <x v="2"/>
    <s v="Mobile Money"/>
    <n v="1770"/>
    <m/>
    <m/>
  </r>
  <r>
    <s v="O00206"/>
    <n v="46112"/>
    <s v="C046"/>
    <x v="16"/>
    <x v="2"/>
    <s v="Retail"/>
    <s v="P003"/>
    <x v="13"/>
    <s v="Accessories"/>
    <n v="1"/>
    <n v="171"/>
    <x v="5"/>
    <s v="Bank Transfer"/>
    <n v="171"/>
    <m/>
    <m/>
  </r>
  <r>
    <s v="O00207"/>
    <n v="46114"/>
    <s v="C018"/>
    <x v="19"/>
    <x v="0"/>
    <s v="Retail"/>
    <s v="P002"/>
    <x v="12"/>
    <s v="Accessories"/>
    <n v="2"/>
    <n v="240"/>
    <x v="0"/>
    <s v="Cash"/>
    <n v="480"/>
    <m/>
    <m/>
  </r>
  <r>
    <s v="O00208"/>
    <n v="46185"/>
    <s v="C090"/>
    <x v="42"/>
    <x v="3"/>
    <s v="Corporate"/>
    <s v="P016"/>
    <x v="15"/>
    <s v="Networking"/>
    <n v="1"/>
    <n v="590"/>
    <x v="4"/>
    <s v="Cash"/>
    <n v="590"/>
    <m/>
    <m/>
  </r>
  <r>
    <s v="O00209"/>
    <n v="46075"/>
    <s v="C005"/>
    <x v="20"/>
    <x v="2"/>
    <s v="Retail"/>
    <s v="P010"/>
    <x v="17"/>
    <s v="Storage"/>
    <n v="1"/>
    <n v="720"/>
    <x v="4"/>
    <s v="Bank Transfer"/>
    <n v="720"/>
    <m/>
    <m/>
  </r>
  <r>
    <s v="O00211"/>
    <n v="46097"/>
    <s v="C005"/>
    <x v="20"/>
    <x v="2"/>
    <s v="Retail"/>
    <s v="P007"/>
    <x v="5"/>
    <s v="Computers"/>
    <n v="2"/>
    <n v="4940"/>
    <x v="0"/>
    <s v="Bank Transfer"/>
    <n v="9880"/>
    <m/>
    <m/>
  </r>
  <r>
    <s v="O00212"/>
    <n v="46228"/>
    <s v="C035"/>
    <x v="59"/>
    <x v="5"/>
    <s v="Retail"/>
    <s v="P004"/>
    <x v="3"/>
    <s v="Displays"/>
    <n v="2"/>
    <n v="1450"/>
    <x v="0"/>
    <s v="Cash"/>
    <n v="2900"/>
    <m/>
    <m/>
  </r>
  <r>
    <s v="O00213"/>
    <n v="46110"/>
    <s v="C115"/>
    <x v="20"/>
    <x v="3"/>
    <s v="Corporate"/>
    <s v="P013"/>
    <x v="9"/>
    <s v="Accessories"/>
    <n v="8"/>
    <n v="320"/>
    <x v="0"/>
    <s v="Cash"/>
    <n v="2560"/>
    <m/>
    <m/>
  </r>
  <r>
    <s v="O00214"/>
    <n v="46092"/>
    <s v="C048"/>
    <x v="67"/>
    <x v="3"/>
    <s v="Corporate"/>
    <s v="P017"/>
    <x v="6"/>
    <s v="Networking"/>
    <n v="4"/>
    <n v="760"/>
    <x v="4"/>
    <s v="Cash"/>
    <n v="3040"/>
    <m/>
    <m/>
  </r>
  <r>
    <s v="O00215"/>
    <n v="46163"/>
    <s v="C078"/>
    <x v="49"/>
    <x v="5"/>
    <s v="SME"/>
    <s v="P006"/>
    <x v="10"/>
    <s v="Accessories"/>
    <n v="1"/>
    <n v="152"/>
    <x v="4"/>
    <s v="Bank Transfer"/>
    <n v="152"/>
    <m/>
    <m/>
  </r>
  <r>
    <s v="O00216"/>
    <n v="46102"/>
    <s v="C085"/>
    <x v="5"/>
    <x v="1"/>
    <s v="SME"/>
    <s v="P010"/>
    <x v="17"/>
    <s v="Storage"/>
    <n v="2"/>
    <n v="720"/>
    <x v="3"/>
    <s v="Cash"/>
    <n v="1440"/>
    <m/>
    <m/>
  </r>
  <r>
    <s v="O00217"/>
    <n v="46034"/>
    <s v="C045"/>
    <x v="84"/>
    <x v="1"/>
    <s v="SME"/>
    <s v="P015"/>
    <x v="4"/>
    <s v="Audio"/>
    <n v="3"/>
    <n v="420"/>
    <x v="5"/>
    <s v="Cash"/>
    <n v="1260"/>
    <m/>
    <m/>
  </r>
  <r>
    <s v="O00218"/>
    <n v="46043"/>
    <s v="C036"/>
    <x v="22"/>
    <x v="3"/>
    <s v="Retail"/>
    <s v="P002"/>
    <x v="12"/>
    <s v="Accessories"/>
    <n v="3"/>
    <n v="240"/>
    <x v="2"/>
    <s v="Card"/>
    <n v="720"/>
    <m/>
    <m/>
  </r>
  <r>
    <s v="O00219"/>
    <n v="46241"/>
    <s v="C004"/>
    <x v="2"/>
    <x v="5"/>
    <s v="Retail"/>
    <s v="P005"/>
    <x v="16"/>
    <s v="Displays"/>
    <n v="3"/>
    <n v="2200"/>
    <x v="4"/>
    <s v="Card"/>
    <n v="6600"/>
    <m/>
    <m/>
  </r>
  <r>
    <s v="O00220"/>
    <n v="46223"/>
    <s v="C009"/>
    <x v="73"/>
    <x v="3"/>
    <s v="Retail"/>
    <s v="P008"/>
    <x v="1"/>
    <s v="Computers"/>
    <n v="3"/>
    <n v="8200"/>
    <x v="1"/>
    <s v="Mobile Money"/>
    <n v="24600"/>
    <m/>
    <m/>
  </r>
  <r>
    <s v="O00221"/>
    <n v="46197"/>
    <s v="C078"/>
    <x v="49"/>
    <x v="5"/>
    <s v="SME"/>
    <s v="P005"/>
    <x v="16"/>
    <s v="Displays"/>
    <n v="2"/>
    <n v="2200"/>
    <x v="2"/>
    <s v="Cash"/>
    <n v="4400"/>
    <m/>
    <m/>
  </r>
  <r>
    <s v="O00222"/>
    <n v="46170"/>
    <s v="C098"/>
    <x v="50"/>
    <x v="4"/>
    <s v="Retail"/>
    <s v="P003"/>
    <x v="13"/>
    <s v="Accessories"/>
    <n v="1"/>
    <n v="180"/>
    <x v="1"/>
    <s v="Bank Transfer"/>
    <n v="180"/>
    <m/>
    <m/>
  </r>
  <r>
    <s v="O00223"/>
    <n v="46087"/>
    <s v="C084"/>
    <x v="66"/>
    <x v="4"/>
    <s v="Corporate"/>
    <s v="P009"/>
    <x v="7"/>
    <s v="Computers"/>
    <n v="8"/>
    <n v="2945"/>
    <x v="0"/>
    <s v="Card"/>
    <n v="23560"/>
    <m/>
    <m/>
  </r>
  <r>
    <s v="O00224"/>
    <n v="46123"/>
    <s v="C064"/>
    <x v="7"/>
    <x v="2"/>
    <s v="SME"/>
    <s v="P017"/>
    <x v="6"/>
    <s v="Networking"/>
    <n v="6"/>
    <n v="722"/>
    <x v="2"/>
    <s v="Bank Transfer"/>
    <n v="4332"/>
    <m/>
    <m/>
  </r>
  <r>
    <s v="O00225"/>
    <n v="46078"/>
    <s v="C091"/>
    <x v="24"/>
    <x v="4"/>
    <s v="Retail"/>
    <s v="P015"/>
    <x v="4"/>
    <s v="Audio"/>
    <n v="10"/>
    <n v="420"/>
    <x v="0"/>
    <s v="Cash"/>
    <n v="4200"/>
    <m/>
    <m/>
  </r>
  <r>
    <s v="O00226"/>
    <n v="46058"/>
    <s v="C026"/>
    <x v="32"/>
    <x v="1"/>
    <s v="SME"/>
    <s v="P004"/>
    <x v="3"/>
    <s v="Displays"/>
    <n v="5"/>
    <n v="1450"/>
    <x v="3"/>
    <s v="Cash"/>
    <n v="7250"/>
    <m/>
    <m/>
  </r>
  <r>
    <s v="O00227"/>
    <n v="46194"/>
    <s v="C012"/>
    <x v="15"/>
    <x v="3"/>
    <s v="SME"/>
    <s v="P011"/>
    <x v="2"/>
    <s v="Storage"/>
    <n v="2"/>
    <n v="104.5"/>
    <x v="5"/>
    <s v="Bank Transfer"/>
    <n v="209"/>
    <m/>
    <m/>
  </r>
  <r>
    <s v="O00228"/>
    <n v="46241"/>
    <s v="C115"/>
    <x v="20"/>
    <x v="3"/>
    <s v="Corporate"/>
    <s v="P010"/>
    <x v="17"/>
    <s v="Storage"/>
    <n v="1"/>
    <n v="720"/>
    <x v="2"/>
    <s v="Card"/>
    <n v="720"/>
    <m/>
    <m/>
  </r>
  <r>
    <s v="O00229"/>
    <n v="46226"/>
    <s v="C016"/>
    <x v="83"/>
    <x v="0"/>
    <s v="Corporate"/>
    <s v="P007"/>
    <x v="5"/>
    <s v="Computers"/>
    <n v="1"/>
    <n v="5200"/>
    <x v="4"/>
    <s v="Bank Transfer"/>
    <n v="5200"/>
    <m/>
    <m/>
  </r>
  <r>
    <s v="O00230"/>
    <n v="46143"/>
    <s v="C071"/>
    <x v="46"/>
    <x v="5"/>
    <s v="Corporate"/>
    <s v="P012"/>
    <x v="14"/>
    <s v="Storage"/>
    <n v="4"/>
    <n v="504"/>
    <x v="3"/>
    <s v="Mobile Money"/>
    <n v="2016"/>
    <m/>
    <m/>
  </r>
  <r>
    <s v="O00231"/>
    <n v="46125"/>
    <s v="C009"/>
    <x v="73"/>
    <x v="3"/>
    <s v="Retail"/>
    <s v="P010"/>
    <x v="17"/>
    <s v="Storage"/>
    <n v="10"/>
    <n v="720"/>
    <x v="5"/>
    <s v="Cash"/>
    <n v="7200"/>
    <m/>
    <m/>
  </r>
  <r>
    <s v="O00232"/>
    <n v="46234"/>
    <s v="C099"/>
    <x v="7"/>
    <x v="2"/>
    <s v="Corporate"/>
    <s v="P014"/>
    <x v="8"/>
    <s v="Audio"/>
    <n v="2"/>
    <n v="650"/>
    <x v="2"/>
    <s v="Mobile Money"/>
    <n v="1300"/>
    <m/>
    <m/>
  </r>
  <r>
    <s v="O00233"/>
    <n v="46198"/>
    <s v="C058"/>
    <x v="72"/>
    <x v="4"/>
    <s v="SME"/>
    <s v="P015"/>
    <x v="4"/>
    <s v="Audio"/>
    <n v="2"/>
    <n v="420"/>
    <x v="5"/>
    <s v="Card"/>
    <n v="840"/>
    <m/>
    <m/>
  </r>
  <r>
    <s v="O00234"/>
    <n v="46134"/>
    <s v="C099"/>
    <x v="7"/>
    <x v="2"/>
    <s v="Corporate"/>
    <s v="P005"/>
    <x v="16"/>
    <s v="Displays"/>
    <n v="2"/>
    <n v="2090"/>
    <x v="4"/>
    <s v="Card"/>
    <n v="4180"/>
    <m/>
    <m/>
  </r>
  <r>
    <s v="O00235"/>
    <n v="46065"/>
    <s v="C039"/>
    <x v="85"/>
    <x v="4"/>
    <s v="SME"/>
    <s v="P006"/>
    <x v="10"/>
    <s v="Accessories"/>
    <n v="1"/>
    <n v="160"/>
    <x v="2"/>
    <s v="Bank Transfer"/>
    <n v="160"/>
    <m/>
    <m/>
  </r>
  <r>
    <s v="O00236"/>
    <n v="46088"/>
    <s v="C109"/>
    <x v="35"/>
    <x v="1"/>
    <s v="SME"/>
    <s v="P003"/>
    <x v="13"/>
    <s v="Accessories"/>
    <n v="1"/>
    <n v="189"/>
    <x v="2"/>
    <s v="Card"/>
    <n v="189"/>
    <m/>
    <m/>
  </r>
  <r>
    <s v="O00237"/>
    <n v="46181"/>
    <s v="C081"/>
    <x v="56"/>
    <x v="5"/>
    <s v="SME"/>
    <s v="P010"/>
    <x v="17"/>
    <s v="Storage"/>
    <n v="2"/>
    <n v="756"/>
    <x v="0"/>
    <s v="Card"/>
    <n v="1512"/>
    <m/>
    <m/>
  </r>
  <r>
    <s v="O00238"/>
    <n v="46067"/>
    <s v="C076"/>
    <x v="70"/>
    <x v="3"/>
    <s v="Corporate"/>
    <s v="P005"/>
    <x v="16"/>
    <s v="Displays"/>
    <n v="3"/>
    <n v="2310"/>
    <x v="2"/>
    <s v="Mobile Money"/>
    <n v="6930"/>
    <m/>
    <m/>
  </r>
  <r>
    <s v="O00239"/>
    <n v="46044"/>
    <s v="C106"/>
    <x v="4"/>
    <x v="3"/>
    <s v="Corporate"/>
    <s v="P001"/>
    <x v="11"/>
    <s v="Accessories"/>
    <n v="1"/>
    <n v="89.25"/>
    <x v="2"/>
    <s v="Card"/>
    <n v="89.25"/>
    <m/>
    <m/>
  </r>
  <r>
    <s v="O00240"/>
    <n v="46182"/>
    <s v="C099"/>
    <x v="7"/>
    <x v="2"/>
    <s v="Corporate"/>
    <s v="P014"/>
    <x v="8"/>
    <s v="Audio"/>
    <n v="3"/>
    <n v="650"/>
    <x v="0"/>
    <s v="Bank Transfer"/>
    <n v="1950"/>
    <m/>
    <m/>
  </r>
  <r>
    <s v="O00241"/>
    <n v="46147"/>
    <s v="C083"/>
    <x v="6"/>
    <x v="2"/>
    <s v="SME"/>
    <s v="P010"/>
    <x v="17"/>
    <s v="Storage"/>
    <n v="1"/>
    <n v="720"/>
    <x v="2"/>
    <s v="Cash"/>
    <n v="720"/>
    <m/>
    <m/>
  </r>
  <r>
    <s v="O00242"/>
    <n v="46064"/>
    <s v="C010"/>
    <x v="47"/>
    <x v="0"/>
    <s v="Retail"/>
    <s v="P002"/>
    <x v="12"/>
    <s v="Accessories"/>
    <n v="2"/>
    <n v="240"/>
    <x v="1"/>
    <s v="Card"/>
    <n v="480"/>
    <m/>
    <m/>
  </r>
  <r>
    <s v="O00243"/>
    <n v="46104"/>
    <s v="C044"/>
    <x v="86"/>
    <x v="2"/>
    <s v="Corporate"/>
    <s v="P005"/>
    <x v="16"/>
    <s v="Displays"/>
    <n v="5"/>
    <n v="2200"/>
    <x v="0"/>
    <s v="Bank Transfer"/>
    <n v="11000"/>
    <m/>
    <m/>
  </r>
  <r>
    <s v="O00244"/>
    <n v="46218"/>
    <s v="C052"/>
    <x v="13"/>
    <x v="5"/>
    <s v="Retail"/>
    <s v="P005"/>
    <x v="16"/>
    <s v="Displays"/>
    <n v="2"/>
    <n v="2310"/>
    <x v="4"/>
    <s v="Bank Transfer"/>
    <n v="4620"/>
    <m/>
    <m/>
  </r>
  <r>
    <s v="O00245"/>
    <n v="46055"/>
    <s v="C031"/>
    <x v="79"/>
    <x v="0"/>
    <s v="Retail"/>
    <s v="P015"/>
    <x v="4"/>
    <s v="Audio"/>
    <n v="1"/>
    <n v="420"/>
    <x v="3"/>
    <s v="Mobile Money"/>
    <n v="420"/>
    <m/>
    <m/>
  </r>
  <r>
    <s v="O00246"/>
    <n v="46122"/>
    <s v="C007"/>
    <x v="48"/>
    <x v="1"/>
    <s v="Corporate"/>
    <s v="P010"/>
    <x v="17"/>
    <s v="Storage"/>
    <n v="5"/>
    <n v="720"/>
    <x v="3"/>
    <s v="Card"/>
    <n v="3600"/>
    <m/>
    <m/>
  </r>
  <r>
    <s v="O00247"/>
    <n v="46171"/>
    <s v="C105"/>
    <x v="4"/>
    <x v="2"/>
    <s v="SME"/>
    <s v="P011"/>
    <x v="2"/>
    <s v="Storage"/>
    <n v="3"/>
    <n v="110"/>
    <x v="3"/>
    <s v="Cash"/>
    <n v="330"/>
    <m/>
    <m/>
  </r>
  <r>
    <s v="O00248"/>
    <n v="46151"/>
    <s v="C066"/>
    <x v="38"/>
    <x v="5"/>
    <s v="Retail"/>
    <s v="P015"/>
    <x v="4"/>
    <s v="Audio"/>
    <n v="5"/>
    <n v="420"/>
    <x v="4"/>
    <s v="Mobile Money"/>
    <n v="2100"/>
    <m/>
    <m/>
  </r>
  <r>
    <s v="O00249"/>
    <n v="46141"/>
    <s v="C051"/>
    <x v="34"/>
    <x v="4"/>
    <s v="Retail"/>
    <s v="P017"/>
    <x v="6"/>
    <s v="Networking"/>
    <n v="8"/>
    <n v="760"/>
    <x v="5"/>
    <s v="Bank Transfer"/>
    <n v="6080"/>
    <m/>
    <m/>
  </r>
  <r>
    <s v="O00250"/>
    <n v="46096"/>
    <s v="C007"/>
    <x v="48"/>
    <x v="1"/>
    <s v="Corporate"/>
    <s v="P002"/>
    <x v="12"/>
    <s v="Accessories"/>
    <n v="2"/>
    <n v="240"/>
    <x v="2"/>
    <s v="Mobile Money"/>
    <n v="480"/>
    <m/>
    <m/>
  </r>
  <r>
    <s v="O00251"/>
    <n v="46134"/>
    <s v="C109"/>
    <x v="35"/>
    <x v="1"/>
    <s v="SME"/>
    <s v="P004"/>
    <x v="3"/>
    <s v="Displays"/>
    <n v="1"/>
    <n v="1450"/>
    <x v="0"/>
    <s v="Bank Transfer"/>
    <n v="1450"/>
    <m/>
    <m/>
  </r>
  <r>
    <s v="O00252"/>
    <n v="46117"/>
    <s v="C098"/>
    <x v="50"/>
    <x v="4"/>
    <s v="Retail"/>
    <s v="P013"/>
    <x v="9"/>
    <s v="Accessories"/>
    <n v="1"/>
    <n v="304"/>
    <x v="5"/>
    <s v="Card"/>
    <n v="304"/>
    <m/>
    <m/>
  </r>
  <r>
    <s v="O00253"/>
    <n v="46097"/>
    <s v="C047"/>
    <x v="10"/>
    <x v="2"/>
    <s v="Corporate"/>
    <s v="P018"/>
    <x v="0"/>
    <s v="Networking"/>
    <n v="1"/>
    <n v="99.75"/>
    <x v="1"/>
    <s v="Bank Transfer"/>
    <n v="99.75"/>
    <m/>
    <m/>
  </r>
  <r>
    <s v="O00254"/>
    <n v="46056"/>
    <s v="C106"/>
    <x v="4"/>
    <x v="3"/>
    <s v="Corporate"/>
    <s v="P004"/>
    <x v="3"/>
    <s v="Displays"/>
    <n v="8"/>
    <n v="1450"/>
    <x v="2"/>
    <s v="Bank Transfer"/>
    <n v="11600"/>
    <m/>
    <m/>
  </r>
  <r>
    <s v="O00255"/>
    <n v="46217"/>
    <s v="C072"/>
    <x v="87"/>
    <x v="3"/>
    <s v="Retail"/>
    <s v="P012"/>
    <x v="14"/>
    <s v="Storage"/>
    <n v="1"/>
    <n v="504"/>
    <x v="5"/>
    <s v="Cash"/>
    <n v="504"/>
    <m/>
    <m/>
  </r>
  <r>
    <s v="O00256"/>
    <n v="46035"/>
    <s v="C065"/>
    <x v="36"/>
    <x v="4"/>
    <s v="Retail"/>
    <s v="P002"/>
    <x v="12"/>
    <s v="Accessories"/>
    <n v="1"/>
    <n v="240"/>
    <x v="1"/>
    <s v="Cash"/>
    <n v="240"/>
    <m/>
    <m/>
  </r>
  <r>
    <s v="O00257"/>
    <n v="46059"/>
    <s v="C020"/>
    <x v="81"/>
    <x v="1"/>
    <s v="SME"/>
    <s v="P017"/>
    <x v="6"/>
    <s v="Networking"/>
    <n v="1"/>
    <n v="798"/>
    <x v="2"/>
    <s v="Card"/>
    <n v="798"/>
    <m/>
    <m/>
  </r>
  <r>
    <s v="O00258"/>
    <n v="46175"/>
    <s v="C051"/>
    <x v="34"/>
    <x v="4"/>
    <s v="Retail"/>
    <s v="P010"/>
    <x v="17"/>
    <s v="Storage"/>
    <n v="1"/>
    <n v="756"/>
    <x v="5"/>
    <s v="Cash"/>
    <n v="756"/>
    <m/>
    <m/>
  </r>
  <r>
    <s v="O00259"/>
    <n v="46145"/>
    <s v="C091"/>
    <x v="24"/>
    <x v="4"/>
    <s v="Retail"/>
    <s v="P010"/>
    <x v="17"/>
    <s v="Storage"/>
    <n v="4"/>
    <n v="720"/>
    <x v="2"/>
    <s v="Mobile Money"/>
    <n v="2880"/>
    <m/>
    <m/>
  </r>
  <r>
    <s v="O00260"/>
    <n v="46227"/>
    <s v="C054"/>
    <x v="25"/>
    <x v="2"/>
    <s v="SME"/>
    <s v="P010"/>
    <x v="17"/>
    <s v="Storage"/>
    <n v="5"/>
    <n v="684"/>
    <x v="5"/>
    <s v="Cash"/>
    <n v="3420"/>
    <m/>
    <m/>
  </r>
  <r>
    <s v="O00261"/>
    <n v="46208"/>
    <s v="C034"/>
    <x v="45"/>
    <x v="0"/>
    <s v="Retail"/>
    <s v="P008"/>
    <x v="1"/>
    <s v="Computers"/>
    <n v="1"/>
    <n v="8200"/>
    <x v="3"/>
    <s v="Cash"/>
    <n v="8200"/>
    <m/>
    <m/>
  </r>
  <r>
    <s v="O00262"/>
    <n v="46032"/>
    <s v="C019"/>
    <x v="18"/>
    <x v="3"/>
    <s v="SME"/>
    <s v="P008"/>
    <x v="1"/>
    <s v="Computers"/>
    <n v="2"/>
    <n v="7790"/>
    <x v="3"/>
    <s v="Mobile Money"/>
    <n v="15580"/>
    <m/>
    <m/>
  </r>
  <r>
    <s v="O00263"/>
    <n v="46131"/>
    <s v="C057"/>
    <x v="48"/>
    <x v="0"/>
    <s v="SME"/>
    <s v="P011"/>
    <x v="2"/>
    <s v="Storage"/>
    <n v="1"/>
    <n v="110"/>
    <x v="1"/>
    <s v="Cash"/>
    <n v="110"/>
    <m/>
    <m/>
  </r>
  <r>
    <s v="O00264"/>
    <n v="46204"/>
    <s v="C112"/>
    <x v="12"/>
    <x v="0"/>
    <s v="Retail"/>
    <s v="P002"/>
    <x v="12"/>
    <s v="Accessories"/>
    <n v="1"/>
    <n v="240"/>
    <x v="5"/>
    <s v="Bank Transfer"/>
    <n v="240"/>
    <m/>
    <m/>
  </r>
  <r>
    <s v="O00265"/>
    <n v="46158"/>
    <s v="C085"/>
    <x v="5"/>
    <x v="1"/>
    <s v="SME"/>
    <s v="P016"/>
    <x v="15"/>
    <s v="Networking"/>
    <n v="2"/>
    <n v="590"/>
    <x v="1"/>
    <s v="Bank Transfer"/>
    <n v="1180"/>
    <m/>
    <m/>
  </r>
  <r>
    <s v="O00266"/>
    <n v="46197"/>
    <s v="C070"/>
    <x v="69"/>
    <x v="1"/>
    <s v="Corporate"/>
    <s v="P012"/>
    <x v="14"/>
    <s v="Storage"/>
    <n v="4"/>
    <n v="480"/>
    <x v="5"/>
    <s v="Cash"/>
    <n v="1920"/>
    <m/>
    <m/>
  </r>
  <r>
    <s v="O00267"/>
    <n v="46095"/>
    <s v="C025"/>
    <x v="40"/>
    <x v="0"/>
    <s v="Corporate"/>
    <s v="P008"/>
    <x v="1"/>
    <s v="Computers"/>
    <n v="2"/>
    <n v="8200"/>
    <x v="2"/>
    <s v="Bank Transfer"/>
    <n v="16400"/>
    <m/>
    <m/>
  </r>
  <r>
    <s v="O00268"/>
    <n v="46200"/>
    <s v="C091"/>
    <x v="24"/>
    <x v="4"/>
    <s v="Retail"/>
    <s v="P007"/>
    <x v="5"/>
    <s v="Computers"/>
    <n v="3"/>
    <n v="5200"/>
    <x v="1"/>
    <s v="Bank Transfer"/>
    <n v="15600"/>
    <m/>
    <m/>
  </r>
  <r>
    <s v="O00269"/>
    <n v="46097"/>
    <s v="C072"/>
    <x v="87"/>
    <x v="3"/>
    <s v="Retail"/>
    <s v="P009"/>
    <x v="7"/>
    <s v="Computers"/>
    <n v="1"/>
    <n v="3255"/>
    <x v="1"/>
    <s v="Cash"/>
    <n v="3255"/>
    <m/>
    <m/>
  </r>
  <r>
    <s v="O00270"/>
    <n v="46221"/>
    <s v="C105"/>
    <x v="4"/>
    <x v="2"/>
    <s v="SME"/>
    <s v="P012"/>
    <x v="14"/>
    <s v="Storage"/>
    <n v="4"/>
    <n v="480"/>
    <x v="4"/>
    <s v="Bank Transfer"/>
    <n v="1920"/>
    <m/>
    <m/>
  </r>
  <r>
    <s v="O00271"/>
    <n v="46112"/>
    <s v="C092"/>
    <x v="78"/>
    <x v="5"/>
    <s v="Corporate"/>
    <s v="P003"/>
    <x v="13"/>
    <s v="Accessories"/>
    <n v="6"/>
    <n v="180"/>
    <x v="0"/>
    <s v="Cash"/>
    <n v="1080"/>
    <m/>
    <m/>
  </r>
  <r>
    <s v="O00272"/>
    <n v="46235"/>
    <s v="C028"/>
    <x v="68"/>
    <x v="3"/>
    <s v="Retail"/>
    <s v="P007"/>
    <x v="5"/>
    <s v="Computers"/>
    <n v="2"/>
    <n v="5460"/>
    <x v="0"/>
    <s v="Bank Transfer"/>
    <n v="10920"/>
    <m/>
    <m/>
  </r>
  <r>
    <s v="O00273"/>
    <n v="46181"/>
    <s v="C018"/>
    <x v="19"/>
    <x v="0"/>
    <s v="Retail"/>
    <s v="P004"/>
    <x v="3"/>
    <s v="Displays"/>
    <n v="3"/>
    <n v="1450"/>
    <x v="3"/>
    <s v="Mobile Money"/>
    <n v="4350"/>
    <m/>
    <m/>
  </r>
  <r>
    <s v="O00274"/>
    <n v="46081"/>
    <s v="C086"/>
    <x v="12"/>
    <x v="4"/>
    <s v="SME"/>
    <s v="P017"/>
    <x v="6"/>
    <s v="Networking"/>
    <n v="3"/>
    <n v="722"/>
    <x v="4"/>
    <s v="Cash"/>
    <n v="2166"/>
    <m/>
    <m/>
  </r>
  <r>
    <s v="O00275"/>
    <n v="46049"/>
    <s v="C043"/>
    <x v="88"/>
    <x v="3"/>
    <s v="Corporate"/>
    <s v="P016"/>
    <x v="15"/>
    <s v="Networking"/>
    <n v="3"/>
    <n v="590"/>
    <x v="4"/>
    <s v="Card"/>
    <n v="1770"/>
    <m/>
    <m/>
  </r>
  <r>
    <s v="O00276"/>
    <n v="46146"/>
    <s v="C053"/>
    <x v="52"/>
    <x v="2"/>
    <s v="Retail"/>
    <s v="P016"/>
    <x v="15"/>
    <s v="Networking"/>
    <n v="3"/>
    <n v="590"/>
    <x v="2"/>
    <s v="Bank Transfer"/>
    <n v="1770"/>
    <m/>
    <m/>
  </r>
  <r>
    <s v="O00277"/>
    <n v="46256"/>
    <s v="C083"/>
    <x v="6"/>
    <x v="2"/>
    <s v="SME"/>
    <s v="P002"/>
    <x v="12"/>
    <s v="Accessories"/>
    <n v="4"/>
    <n v="252"/>
    <x v="3"/>
    <s v="Mobile Money"/>
    <n v="1008"/>
    <m/>
    <m/>
  </r>
  <r>
    <s v="O00278"/>
    <n v="46130"/>
    <s v="C117"/>
    <x v="28"/>
    <x v="2"/>
    <s v="SME"/>
    <s v="P006"/>
    <x v="10"/>
    <s v="Accessories"/>
    <n v="5"/>
    <n v="160"/>
    <x v="4"/>
    <s v="Cash"/>
    <n v="800"/>
    <m/>
    <m/>
  </r>
  <r>
    <s v="O00279"/>
    <n v="46071"/>
    <s v="C101"/>
    <x v="3"/>
    <x v="0"/>
    <s v="Retail"/>
    <s v="P016"/>
    <x v="15"/>
    <s v="Networking"/>
    <n v="6"/>
    <n v="590"/>
    <x v="4"/>
    <s v="Mobile Money"/>
    <n v="3540"/>
    <m/>
    <m/>
  </r>
  <r>
    <s v="O00280"/>
    <n v="46109"/>
    <s v="C039"/>
    <x v="85"/>
    <x v="4"/>
    <s v="SME"/>
    <s v="P004"/>
    <x v="3"/>
    <s v="Displays"/>
    <n v="1"/>
    <n v="1522.5"/>
    <x v="5"/>
    <s v="Cash"/>
    <n v="1522.5"/>
    <m/>
    <m/>
  </r>
  <r>
    <s v="O00281"/>
    <n v="46241"/>
    <s v="C114"/>
    <x v="17"/>
    <x v="5"/>
    <s v="Corporate"/>
    <s v="P005"/>
    <x v="16"/>
    <s v="Displays"/>
    <n v="2"/>
    <n v="2200"/>
    <x v="3"/>
    <s v="Mobile Money"/>
    <n v="4400"/>
    <m/>
    <m/>
  </r>
  <r>
    <s v="O00282"/>
    <n v="46211"/>
    <s v="C043"/>
    <x v="88"/>
    <x v="3"/>
    <s v="Corporate"/>
    <s v="P006"/>
    <x v="10"/>
    <s v="Accessories"/>
    <n v="2"/>
    <n v="160"/>
    <x v="0"/>
    <s v="Card"/>
    <n v="320"/>
    <m/>
    <m/>
  </r>
  <r>
    <s v="O00283"/>
    <n v="46226"/>
    <s v="C002"/>
    <x v="55"/>
    <x v="2"/>
    <s v="Unknown"/>
    <s v="P011"/>
    <x v="2"/>
    <s v="Storage"/>
    <n v="1"/>
    <n v="110"/>
    <x v="3"/>
    <s v="Cash"/>
    <n v="110"/>
    <m/>
    <m/>
  </r>
  <r>
    <s v="O00284"/>
    <n v="46155"/>
    <s v="C106"/>
    <x v="4"/>
    <x v="3"/>
    <s v="Corporate"/>
    <s v="P014"/>
    <x v="8"/>
    <s v="Audio"/>
    <n v="1"/>
    <n v="650"/>
    <x v="0"/>
    <s v="Mobile Money"/>
    <n v="650"/>
    <m/>
    <m/>
  </r>
  <r>
    <s v="O00285"/>
    <n v="46146"/>
    <s v="C024"/>
    <x v="17"/>
    <x v="2"/>
    <s v="Retail"/>
    <s v="P005"/>
    <x v="16"/>
    <s v="Displays"/>
    <n v="1"/>
    <n v="2200"/>
    <x v="4"/>
    <s v="Bank Transfer"/>
    <n v="2200"/>
    <m/>
    <m/>
  </r>
  <r>
    <s v="O00286"/>
    <n v="46138"/>
    <s v="C050"/>
    <x v="9"/>
    <x v="0"/>
    <s v="Retail"/>
    <s v="P008"/>
    <x v="1"/>
    <s v="Computers"/>
    <n v="4"/>
    <n v="8200"/>
    <x v="2"/>
    <s v="Mobile Money"/>
    <n v="32800"/>
    <m/>
    <m/>
  </r>
  <r>
    <s v="O00287"/>
    <n v="46201"/>
    <s v="C034"/>
    <x v="45"/>
    <x v="0"/>
    <s v="Retail"/>
    <s v="P012"/>
    <x v="14"/>
    <s v="Storage"/>
    <n v="1"/>
    <n v="456"/>
    <x v="1"/>
    <s v="Bank Transfer"/>
    <n v="456"/>
    <m/>
    <m/>
  </r>
  <r>
    <s v="O00288"/>
    <n v="46199"/>
    <s v="C021"/>
    <x v="82"/>
    <x v="0"/>
    <s v="Retail"/>
    <s v="P013"/>
    <x v="9"/>
    <s v="Accessories"/>
    <n v="2"/>
    <n v="320"/>
    <x v="0"/>
    <s v="Mobile Money"/>
    <n v="640"/>
    <m/>
    <m/>
  </r>
  <r>
    <s v="O00289"/>
    <n v="46118"/>
    <s v="C082"/>
    <x v="62"/>
    <x v="1"/>
    <s v="Corporate"/>
    <s v="P010"/>
    <x v="17"/>
    <s v="Storage"/>
    <n v="3"/>
    <n v="720"/>
    <x v="3"/>
    <s v="Cash"/>
    <n v="2160"/>
    <m/>
    <m/>
  </r>
  <r>
    <s v="O00290"/>
    <n v="46215"/>
    <s v="C020"/>
    <x v="81"/>
    <x v="1"/>
    <s v="SME"/>
    <s v="P015"/>
    <x v="4"/>
    <s v="Audio"/>
    <n v="10"/>
    <n v="420"/>
    <x v="1"/>
    <s v="Cash"/>
    <n v="4200"/>
    <m/>
    <m/>
  </r>
  <r>
    <s v="O00291"/>
    <n v="46229"/>
    <s v="C097"/>
    <x v="37"/>
    <x v="3"/>
    <s v="Retail"/>
    <s v="P018"/>
    <x v="0"/>
    <s v="Networking"/>
    <n v="3"/>
    <n v="95"/>
    <x v="3"/>
    <s v="Mobile Money"/>
    <n v="285"/>
    <m/>
    <m/>
  </r>
  <r>
    <s v="O00292"/>
    <n v="46159"/>
    <s v="C068"/>
    <x v="57"/>
    <x v="1"/>
    <s v="SME"/>
    <s v="P015"/>
    <x v="4"/>
    <s v="Audio"/>
    <n v="3"/>
    <n v="399"/>
    <x v="5"/>
    <s v="Mobile Money"/>
    <n v="1197"/>
    <m/>
    <m/>
  </r>
  <r>
    <s v="O00293"/>
    <n v="46255"/>
    <s v="C008"/>
    <x v="89"/>
    <x v="2"/>
    <s v="SME"/>
    <s v="P018"/>
    <x v="0"/>
    <s v="Networking"/>
    <n v="2"/>
    <n v="99.75"/>
    <x v="5"/>
    <s v="Card"/>
    <n v="199.5"/>
    <m/>
    <m/>
  </r>
  <r>
    <s v="O00294"/>
    <n v="46242"/>
    <s v="C022"/>
    <x v="30"/>
    <x v="1"/>
    <s v="Corporate"/>
    <s v="P011"/>
    <x v="2"/>
    <s v="Storage"/>
    <n v="2"/>
    <n v="104.5"/>
    <x v="0"/>
    <s v="Card"/>
    <n v="209"/>
    <m/>
    <m/>
  </r>
  <r>
    <s v="O00295"/>
    <n v="46047"/>
    <s v="C092"/>
    <x v="78"/>
    <x v="5"/>
    <s v="Corporate"/>
    <s v="P016"/>
    <x v="15"/>
    <s v="Networking"/>
    <n v="5"/>
    <n v="590"/>
    <x v="4"/>
    <s v="Cash"/>
    <n v="2950"/>
    <m/>
    <m/>
  </r>
  <r>
    <s v="O00296"/>
    <n v="46130"/>
    <s v="C017"/>
    <x v="48"/>
    <x v="3"/>
    <s v="Retail"/>
    <s v="P017"/>
    <x v="6"/>
    <s v="Networking"/>
    <n v="2"/>
    <n v="722"/>
    <x v="5"/>
    <s v="Cash"/>
    <n v="1444"/>
    <m/>
    <m/>
  </r>
  <r>
    <s v="O00297"/>
    <n v="46209"/>
    <s v="C087"/>
    <x v="67"/>
    <x v="4"/>
    <s v="Retail"/>
    <s v="P010"/>
    <x v="17"/>
    <s v="Storage"/>
    <n v="1"/>
    <n v="720"/>
    <x v="4"/>
    <s v="Card"/>
    <n v="720"/>
    <m/>
    <m/>
  </r>
  <r>
    <s v="O00298"/>
    <n v="46035"/>
    <s v="C075"/>
    <x v="90"/>
    <x v="3"/>
    <s v="SME"/>
    <s v="P003"/>
    <x v="13"/>
    <s v="Accessories"/>
    <n v="2"/>
    <n v="171"/>
    <x v="5"/>
    <s v="Mobile Money"/>
    <n v="342"/>
    <m/>
    <m/>
  </r>
  <r>
    <s v="O00299"/>
    <n v="46144"/>
    <s v="C120"/>
    <x v="91"/>
    <x v="3"/>
    <s v="SME"/>
    <s v="P003"/>
    <x v="13"/>
    <s v="Accessories"/>
    <n v="1"/>
    <n v="180"/>
    <x v="3"/>
    <s v="Card"/>
    <n v="180"/>
    <m/>
    <m/>
  </r>
  <r>
    <s v="O00300"/>
    <n v="46119"/>
    <s v="C099"/>
    <x v="92"/>
    <x v="2"/>
    <s v="Corporate"/>
    <s v="P014"/>
    <x v="8"/>
    <s v="Audio"/>
    <n v="10"/>
    <n v="650"/>
    <x v="1"/>
    <s v="Cash"/>
    <n v="6500"/>
    <m/>
    <m/>
  </r>
  <r>
    <s v="O00302"/>
    <n v="46161"/>
    <s v="C016"/>
    <x v="83"/>
    <x v="0"/>
    <s v="Corporate"/>
    <s v="P006"/>
    <x v="10"/>
    <s v="Accessories"/>
    <n v="2"/>
    <n v="160"/>
    <x v="0"/>
    <s v="Card"/>
    <n v="320"/>
    <m/>
    <m/>
  </r>
  <r>
    <s v="O00303"/>
    <n v="46217"/>
    <s v="C107"/>
    <x v="61"/>
    <x v="0"/>
    <s v="SME"/>
    <s v="P001"/>
    <x v="11"/>
    <s v="Accessories"/>
    <n v="1"/>
    <n v="85"/>
    <x v="1"/>
    <s v="Cash"/>
    <n v="85"/>
    <m/>
    <m/>
  </r>
  <r>
    <s v="O00304"/>
    <n v="46234"/>
    <s v="C069"/>
    <x v="65"/>
    <x v="5"/>
    <s v="SME"/>
    <s v="P013"/>
    <x v="9"/>
    <s v="Accessories"/>
    <n v="1"/>
    <n v="320"/>
    <x v="2"/>
    <s v="Card"/>
    <n v="320"/>
    <m/>
    <m/>
  </r>
  <r>
    <s v="O00305"/>
    <n v="46248"/>
    <s v="C036"/>
    <x v="22"/>
    <x v="3"/>
    <s v="Retail"/>
    <s v="P007"/>
    <x v="5"/>
    <s v="Computers"/>
    <n v="3"/>
    <n v="4940"/>
    <x v="4"/>
    <s v="Cash"/>
    <n v="14820"/>
    <m/>
    <m/>
  </r>
  <r>
    <s v="O00306"/>
    <n v="46085"/>
    <s v="C079"/>
    <x v="36"/>
    <x v="5"/>
    <s v="Retail"/>
    <s v="P001"/>
    <x v="11"/>
    <s v="Accessories"/>
    <n v="1"/>
    <n v="80.75"/>
    <x v="5"/>
    <s v="Mobile Money"/>
    <n v="80.75"/>
    <m/>
    <m/>
  </r>
  <r>
    <s v="O00307"/>
    <n v="46086"/>
    <s v="C058"/>
    <x v="72"/>
    <x v="4"/>
    <s v="SME"/>
    <s v="P002"/>
    <x v="12"/>
    <s v="Accessories"/>
    <n v="3"/>
    <n v="240"/>
    <x v="1"/>
    <s v="Card"/>
    <n v="720"/>
    <m/>
    <m/>
  </r>
  <r>
    <s v="O00308"/>
    <n v="46217"/>
    <s v="C070"/>
    <x v="69"/>
    <x v="1"/>
    <s v="Corporate"/>
    <s v="P007"/>
    <x v="5"/>
    <s v="Computers"/>
    <n v="5"/>
    <n v="4940"/>
    <x v="3"/>
    <s v="Bank Transfer"/>
    <n v="24700"/>
    <m/>
    <m/>
  </r>
  <r>
    <s v="O00309"/>
    <n v="46171"/>
    <s v="C030"/>
    <x v="35"/>
    <x v="5"/>
    <s v="SME"/>
    <s v="P011"/>
    <x v="2"/>
    <s v="Storage"/>
    <n v="3"/>
    <n v="110"/>
    <x v="3"/>
    <s v="Bank Transfer"/>
    <n v="330"/>
    <m/>
    <m/>
  </r>
  <r>
    <s v="O00310"/>
    <n v="46193"/>
    <s v="C113"/>
    <x v="0"/>
    <x v="1"/>
    <s v="SME"/>
    <s v="P005"/>
    <x v="16"/>
    <s v="Displays"/>
    <n v="2"/>
    <n v="2200"/>
    <x v="2"/>
    <s v="Bank Transfer"/>
    <n v="4400"/>
    <m/>
    <m/>
  </r>
  <r>
    <s v="O00311"/>
    <n v="46175"/>
    <s v="C008"/>
    <x v="89"/>
    <x v="2"/>
    <s v="SME"/>
    <s v="P018"/>
    <x v="0"/>
    <s v="Networking"/>
    <n v="5"/>
    <n v="95"/>
    <x v="0"/>
    <s v="Cash"/>
    <n v="475"/>
    <m/>
    <m/>
  </r>
  <r>
    <s v="O00312"/>
    <n v="46036"/>
    <s v="C072"/>
    <x v="87"/>
    <x v="3"/>
    <s v="Retail"/>
    <s v="P016"/>
    <x v="15"/>
    <s v="Networking"/>
    <n v="8"/>
    <n v="590"/>
    <x v="5"/>
    <s v="Bank Transfer"/>
    <n v="4720"/>
    <m/>
    <m/>
  </r>
  <r>
    <s v="O00313"/>
    <n v="46128"/>
    <s v="C090"/>
    <x v="42"/>
    <x v="3"/>
    <s v="Corporate"/>
    <s v="P014"/>
    <x v="8"/>
    <s v="Audio"/>
    <n v="1"/>
    <n v="650"/>
    <x v="3"/>
    <s v="Cash"/>
    <n v="650"/>
    <m/>
    <m/>
  </r>
  <r>
    <s v="O00314"/>
    <n v="46100"/>
    <s v="C031"/>
    <x v="79"/>
    <x v="0"/>
    <s v="Retail"/>
    <s v="P008"/>
    <x v="1"/>
    <s v="Computers"/>
    <n v="5"/>
    <n v="8200"/>
    <x v="1"/>
    <s v="Mobile Money"/>
    <n v="41000"/>
    <m/>
    <m/>
  </r>
  <r>
    <s v="O00315"/>
    <n v="46130"/>
    <s v="C072"/>
    <x v="87"/>
    <x v="3"/>
    <s v="Retail"/>
    <s v="P014"/>
    <x v="8"/>
    <s v="Audio"/>
    <n v="2"/>
    <n v="650"/>
    <x v="1"/>
    <s v="Card"/>
    <n v="1300"/>
    <m/>
    <m/>
  </r>
  <r>
    <s v="O00316"/>
    <n v="46108"/>
    <s v="C033"/>
    <x v="30"/>
    <x v="4"/>
    <s v="SME"/>
    <s v="P007"/>
    <x v="5"/>
    <s v="Computers"/>
    <n v="3"/>
    <n v="5200"/>
    <x v="2"/>
    <s v="Mobile Money"/>
    <n v="15600"/>
    <m/>
    <m/>
  </r>
  <r>
    <s v="O00317"/>
    <n v="46037"/>
    <s v="C069"/>
    <x v="65"/>
    <x v="5"/>
    <s v="SME"/>
    <s v="P007"/>
    <x v="5"/>
    <s v="Computers"/>
    <n v="1"/>
    <n v="5460"/>
    <x v="5"/>
    <s v="Mobile Money"/>
    <n v="5460"/>
    <m/>
    <m/>
  </r>
  <r>
    <s v="O00318"/>
    <n v="46072"/>
    <s v="C112"/>
    <x v="12"/>
    <x v="0"/>
    <s v="Retail"/>
    <s v="P003"/>
    <x v="13"/>
    <s v="Accessories"/>
    <n v="4"/>
    <n v="189"/>
    <x v="0"/>
    <s v="Card"/>
    <n v="756"/>
    <m/>
    <m/>
  </r>
  <r>
    <s v="O00319"/>
    <n v="46246"/>
    <s v="C062"/>
    <x v="13"/>
    <x v="1"/>
    <s v="Retail"/>
    <s v="P007"/>
    <x v="5"/>
    <s v="Computers"/>
    <n v="5"/>
    <n v="5200"/>
    <x v="4"/>
    <s v="Card"/>
    <n v="26000"/>
    <m/>
    <m/>
  </r>
  <r>
    <s v="O00320"/>
    <n v="46213"/>
    <s v="C120"/>
    <x v="91"/>
    <x v="3"/>
    <s v="SME"/>
    <s v="P007"/>
    <x v="5"/>
    <s v="Computers"/>
    <n v="1"/>
    <n v="5200"/>
    <x v="3"/>
    <s v="Card"/>
    <n v="5200"/>
    <m/>
    <m/>
  </r>
  <r>
    <s v="O00321"/>
    <n v="46165"/>
    <s v="C051"/>
    <x v="34"/>
    <x v="4"/>
    <s v="Retail"/>
    <s v="P008"/>
    <x v="1"/>
    <s v="Computers"/>
    <n v="1"/>
    <n v="8200"/>
    <x v="1"/>
    <s v="Cash"/>
    <n v="8200"/>
    <m/>
    <m/>
  </r>
  <r>
    <s v="O00322"/>
    <n v="46102"/>
    <s v="C069"/>
    <x v="65"/>
    <x v="5"/>
    <s v="SME"/>
    <s v="P012"/>
    <x v="14"/>
    <s v="Storage"/>
    <n v="1"/>
    <n v="504"/>
    <x v="1"/>
    <s v="Cash"/>
    <n v="504"/>
    <m/>
    <m/>
  </r>
  <r>
    <s v="O00323"/>
    <n v="46218"/>
    <s v="C013"/>
    <x v="41"/>
    <x v="0"/>
    <s v="Retail"/>
    <s v="P016"/>
    <x v="15"/>
    <s v="Networking"/>
    <n v="4"/>
    <n v="590"/>
    <x v="2"/>
    <s v="Bank Transfer"/>
    <n v="2360"/>
    <m/>
    <m/>
  </r>
  <r>
    <s v="O00324"/>
    <n v="46168"/>
    <s v="C053"/>
    <x v="52"/>
    <x v="2"/>
    <s v="Retail"/>
    <s v="P002"/>
    <x v="12"/>
    <s v="Accessories"/>
    <n v="5"/>
    <n v="240"/>
    <x v="4"/>
    <s v="Bank Transfer"/>
    <n v="1200"/>
    <m/>
    <m/>
  </r>
  <r>
    <s v="O00325"/>
    <n v="46099"/>
    <s v="C071"/>
    <x v="46"/>
    <x v="5"/>
    <s v="Corporate"/>
    <s v="P014"/>
    <x v="8"/>
    <s v="Audio"/>
    <n v="1"/>
    <n v="650"/>
    <x v="3"/>
    <s v="Cash"/>
    <n v="650"/>
    <m/>
    <m/>
  </r>
  <r>
    <s v="O00326"/>
    <n v="46151"/>
    <s v="C073"/>
    <x v="33"/>
    <x v="4"/>
    <s v="SME"/>
    <s v="P008"/>
    <x v="1"/>
    <s v="Computers"/>
    <n v="2"/>
    <n v="8200"/>
    <x v="2"/>
    <s v="Cash"/>
    <n v="16400"/>
    <m/>
    <m/>
  </r>
  <r>
    <s v="O00327"/>
    <n v="46141"/>
    <s v="C093"/>
    <x v="38"/>
    <x v="4"/>
    <s v="SME"/>
    <s v="P016"/>
    <x v="15"/>
    <s v="Networking"/>
    <n v="1"/>
    <n v="590"/>
    <x v="3"/>
    <s v="Card"/>
    <n v="590"/>
    <m/>
    <m/>
  </r>
  <r>
    <s v="O00328"/>
    <n v="46149"/>
    <s v="C093"/>
    <x v="38"/>
    <x v="4"/>
    <s v="SME"/>
    <s v="P018"/>
    <x v="0"/>
    <s v="Networking"/>
    <n v="1"/>
    <n v="99.75"/>
    <x v="0"/>
    <s v="Mobile Money"/>
    <n v="99.75"/>
    <m/>
    <m/>
  </r>
  <r>
    <s v="O00329"/>
    <n v="46238"/>
    <s v="C068"/>
    <x v="57"/>
    <x v="1"/>
    <s v="SME"/>
    <s v="P002"/>
    <x v="12"/>
    <s v="Accessories"/>
    <n v="5"/>
    <n v="228"/>
    <x v="4"/>
    <s v="Cash"/>
    <n v="1140"/>
    <m/>
    <m/>
  </r>
  <r>
    <s v="O00330"/>
    <n v="46041"/>
    <s v="C018"/>
    <x v="19"/>
    <x v="0"/>
    <s v="Retail"/>
    <s v="P008"/>
    <x v="1"/>
    <s v="Computers"/>
    <n v="3"/>
    <n v="7790"/>
    <x v="3"/>
    <s v="Cash"/>
    <n v="23370"/>
    <m/>
    <m/>
  </r>
  <r>
    <s v="O00331"/>
    <n v="46182"/>
    <s v="C048"/>
    <x v="67"/>
    <x v="3"/>
    <s v="Corporate"/>
    <s v="P002"/>
    <x v="12"/>
    <s v="Accessories"/>
    <n v="3"/>
    <n v="252"/>
    <x v="1"/>
    <s v="Cash"/>
    <n v="756"/>
    <m/>
    <m/>
  </r>
  <r>
    <s v="O00332"/>
    <n v="46160"/>
    <s v="C003"/>
    <x v="23"/>
    <x v="1"/>
    <s v="Corporate"/>
    <s v="P001"/>
    <x v="11"/>
    <s v="Accessories"/>
    <n v="2"/>
    <n v="80.75"/>
    <x v="4"/>
    <s v="Bank Transfer"/>
    <n v="161.5"/>
    <m/>
    <m/>
  </r>
  <r>
    <s v="O00333"/>
    <n v="46028"/>
    <s v="C069"/>
    <x v="65"/>
    <x v="5"/>
    <s v="SME"/>
    <s v="P010"/>
    <x v="17"/>
    <s v="Storage"/>
    <n v="2"/>
    <n v="720"/>
    <x v="3"/>
    <s v="Mobile Money"/>
    <n v="1440"/>
    <m/>
    <m/>
  </r>
  <r>
    <s v="O00334"/>
    <n v="46158"/>
    <s v="C118"/>
    <x v="51"/>
    <x v="0"/>
    <s v="SME"/>
    <s v="P004"/>
    <x v="3"/>
    <s v="Displays"/>
    <n v="1"/>
    <n v="1450"/>
    <x v="5"/>
    <s v="Bank Transfer"/>
    <n v="1450"/>
    <m/>
    <m/>
  </r>
  <r>
    <s v="O00335"/>
    <n v="46092"/>
    <s v="C105"/>
    <x v="4"/>
    <x v="2"/>
    <s v="SME"/>
    <s v="P012"/>
    <x v="14"/>
    <s v="Storage"/>
    <n v="4"/>
    <n v="456"/>
    <x v="2"/>
    <s v="Cash"/>
    <n v="1824"/>
    <m/>
    <m/>
  </r>
  <r>
    <s v="O00336"/>
    <n v="46202"/>
    <s v="C059"/>
    <x v="29"/>
    <x v="2"/>
    <s v="Retail"/>
    <s v="P008"/>
    <x v="1"/>
    <s v="Computers"/>
    <n v="1"/>
    <n v="7790"/>
    <x v="0"/>
    <s v="Mobile Money"/>
    <n v="7790"/>
    <m/>
    <m/>
  </r>
  <r>
    <s v="O00337"/>
    <n v="46121"/>
    <s v="C012"/>
    <x v="15"/>
    <x v="3"/>
    <s v="SME"/>
    <s v="P013"/>
    <x v="9"/>
    <s v="Accessories"/>
    <n v="2"/>
    <n v="320"/>
    <x v="4"/>
    <s v="Mobile Money"/>
    <n v="640"/>
    <m/>
    <m/>
  </r>
  <r>
    <s v="O00338"/>
    <n v="46045"/>
    <s v="C090"/>
    <x v="42"/>
    <x v="3"/>
    <s v="Corporate"/>
    <s v="P006"/>
    <x v="10"/>
    <s v="Accessories"/>
    <n v="2"/>
    <n v="160"/>
    <x v="0"/>
    <s v="Bank Transfer"/>
    <n v="320"/>
    <m/>
    <m/>
  </r>
  <r>
    <s v="O00339"/>
    <n v="46253"/>
    <s v="C073"/>
    <x v="33"/>
    <x v="4"/>
    <s v="SME"/>
    <s v="P004"/>
    <x v="3"/>
    <s v="Displays"/>
    <n v="2"/>
    <n v="1377.5"/>
    <x v="3"/>
    <s v="Card"/>
    <n v="2755"/>
    <m/>
    <m/>
  </r>
  <r>
    <s v="O00340"/>
    <n v="46093"/>
    <s v="C116"/>
    <x v="59"/>
    <x v="3"/>
    <s v="SME"/>
    <s v="P016"/>
    <x v="15"/>
    <s v="Networking"/>
    <n v="1"/>
    <n v="560.5"/>
    <x v="0"/>
    <s v="Bank Transfer"/>
    <n v="560.5"/>
    <m/>
    <m/>
  </r>
  <r>
    <s v="O00341"/>
    <n v="46168"/>
    <s v="C116"/>
    <x v="59"/>
    <x v="3"/>
    <s v="SME"/>
    <s v="P018"/>
    <x v="0"/>
    <s v="Networking"/>
    <n v="3"/>
    <n v="95"/>
    <x v="2"/>
    <s v="Mobile Money"/>
    <n v="285"/>
    <m/>
    <m/>
  </r>
  <r>
    <s v="O00342"/>
    <n v="46216"/>
    <s v="C027"/>
    <x v="34"/>
    <x v="3"/>
    <s v="SME"/>
    <s v="P005"/>
    <x v="16"/>
    <s v="Displays"/>
    <n v="4"/>
    <n v="2200"/>
    <x v="4"/>
    <s v="Bank Transfer"/>
    <n v="8800"/>
    <m/>
    <m/>
  </r>
  <r>
    <s v="O00343"/>
    <n v="46169"/>
    <s v="C021"/>
    <x v="82"/>
    <x v="0"/>
    <s v="Retail"/>
    <s v="P008"/>
    <x v="1"/>
    <s v="Computers"/>
    <n v="4"/>
    <n v="8200"/>
    <x v="0"/>
    <s v="Bank Transfer"/>
    <n v="32800"/>
    <m/>
    <m/>
  </r>
  <r>
    <s v="O00344"/>
    <n v="46226"/>
    <s v="C050"/>
    <x v="9"/>
    <x v="0"/>
    <s v="Retail"/>
    <s v="P005"/>
    <x v="16"/>
    <s v="Displays"/>
    <n v="10"/>
    <n v="2090"/>
    <x v="5"/>
    <s v="Bank Transfer"/>
    <n v="20900"/>
    <m/>
    <m/>
  </r>
  <r>
    <s v="O00345"/>
    <n v="46135"/>
    <s v="C007"/>
    <x v="48"/>
    <x v="1"/>
    <s v="Corporate"/>
    <s v="P004"/>
    <x v="3"/>
    <s v="Displays"/>
    <n v="1"/>
    <n v="1377.5"/>
    <x v="2"/>
    <s v="Cash"/>
    <n v="1377.5"/>
    <m/>
    <m/>
  </r>
  <r>
    <s v="O00346"/>
    <n v="46031"/>
    <s v="C100"/>
    <x v="0"/>
    <x v="0"/>
    <s v="Retail"/>
    <s v="P011"/>
    <x v="2"/>
    <s v="Storage"/>
    <n v="3"/>
    <n v="110"/>
    <x v="1"/>
    <s v="Card"/>
    <n v="330"/>
    <m/>
    <m/>
  </r>
  <r>
    <s v="O00347"/>
    <n v="46120"/>
    <s v="C046"/>
    <x v="16"/>
    <x v="2"/>
    <s v="Retail"/>
    <s v="P018"/>
    <x v="0"/>
    <s v="Networking"/>
    <n v="2"/>
    <n v="99.75"/>
    <x v="0"/>
    <s v="Cash"/>
    <n v="199.5"/>
    <m/>
    <m/>
  </r>
  <r>
    <s v="O00348"/>
    <n v="46228"/>
    <s v="C011"/>
    <x v="58"/>
    <x v="0"/>
    <s v="Retail"/>
    <s v="P010"/>
    <x v="17"/>
    <s v="Storage"/>
    <n v="1"/>
    <n v="684"/>
    <x v="4"/>
    <s v="Bank Transfer"/>
    <n v="684"/>
    <m/>
    <m/>
  </r>
  <r>
    <s v="O00349"/>
    <n v="46206"/>
    <s v="C020"/>
    <x v="81"/>
    <x v="1"/>
    <s v="SME"/>
    <s v="P013"/>
    <x v="9"/>
    <s v="Accessories"/>
    <n v="4"/>
    <n v="320"/>
    <x v="0"/>
    <s v="Cash"/>
    <n v="1280"/>
    <m/>
    <m/>
  </r>
  <r>
    <s v="O00350"/>
    <n v="46051"/>
    <s v="C041"/>
    <x v="23"/>
    <x v="4"/>
    <s v="SME"/>
    <s v="P012"/>
    <x v="14"/>
    <s v="Storage"/>
    <n v="1"/>
    <n v="480"/>
    <x v="1"/>
    <s v="Bank Transfer"/>
    <n v="480"/>
    <m/>
    <m/>
  </r>
  <r>
    <s v="O00351"/>
    <n v="46050"/>
    <s v="C098"/>
    <x v="50"/>
    <x v="4"/>
    <s v="Retail"/>
    <s v="P009"/>
    <x v="7"/>
    <s v="Computers"/>
    <n v="1"/>
    <n v="3100"/>
    <x v="1"/>
    <s v="Cash"/>
    <n v="3100"/>
    <m/>
    <m/>
  </r>
  <r>
    <s v="O00352"/>
    <n v="46155"/>
    <s v="C072"/>
    <x v="87"/>
    <x v="3"/>
    <s v="Retail"/>
    <s v="P018"/>
    <x v="0"/>
    <s v="Networking"/>
    <n v="2"/>
    <n v="90.25"/>
    <x v="4"/>
    <s v="Bank Transfer"/>
    <n v="180.5"/>
    <m/>
    <m/>
  </r>
  <r>
    <s v="O00353"/>
    <n v="46176"/>
    <s v="C071"/>
    <x v="46"/>
    <x v="5"/>
    <s v="Corporate"/>
    <s v="P003"/>
    <x v="13"/>
    <s v="Accessories"/>
    <n v="3"/>
    <n v="180"/>
    <x v="1"/>
    <s v="Mobile Money"/>
    <n v="540"/>
    <m/>
    <m/>
  </r>
  <r>
    <s v="O00354"/>
    <n v="46123"/>
    <s v="C038"/>
    <x v="78"/>
    <x v="5"/>
    <s v="SME"/>
    <s v="P014"/>
    <x v="8"/>
    <s v="Audio"/>
    <n v="4"/>
    <n v="682.5"/>
    <x v="3"/>
    <s v="Card"/>
    <n v="2730"/>
    <m/>
    <m/>
  </r>
  <r>
    <s v="O00355"/>
    <n v="46067"/>
    <s v="C088"/>
    <x v="75"/>
    <x v="3"/>
    <s v="Retail"/>
    <s v="P013"/>
    <x v="9"/>
    <s v="Accessories"/>
    <n v="1"/>
    <n v="320"/>
    <x v="2"/>
    <s v="Cash"/>
    <n v="320"/>
    <m/>
    <m/>
  </r>
  <r>
    <s v="O00356"/>
    <n v="46066"/>
    <s v="C019"/>
    <x v="18"/>
    <x v="3"/>
    <s v="SME"/>
    <s v="P003"/>
    <x v="13"/>
    <s v="Accessories"/>
    <n v="2"/>
    <n v="189"/>
    <x v="2"/>
    <s v="Cash"/>
    <n v="378"/>
    <m/>
    <m/>
  </r>
  <r>
    <s v="O00357"/>
    <n v="46116"/>
    <s v="C101"/>
    <x v="3"/>
    <x v="0"/>
    <s v="Retail"/>
    <s v="P003"/>
    <x v="13"/>
    <s v="Accessories"/>
    <n v="1"/>
    <n v="180"/>
    <x v="0"/>
    <s v="Cash"/>
    <n v="180"/>
    <m/>
    <m/>
  </r>
  <r>
    <s v="O00358"/>
    <n v="46141"/>
    <s v="C077"/>
    <x v="8"/>
    <x v="3"/>
    <s v="Retail"/>
    <s v="P007"/>
    <x v="5"/>
    <s v="Computers"/>
    <n v="1"/>
    <n v="5200"/>
    <x v="4"/>
    <s v="Cash"/>
    <n v="5200"/>
    <m/>
    <m/>
  </r>
  <r>
    <s v="O00359"/>
    <n v="46229"/>
    <s v="C043"/>
    <x v="88"/>
    <x v="3"/>
    <s v="Corporate"/>
    <s v="P013"/>
    <x v="9"/>
    <s v="Accessories"/>
    <n v="5"/>
    <n v="320"/>
    <x v="2"/>
    <s v="Cash"/>
    <n v="1600"/>
    <m/>
    <m/>
  </r>
  <r>
    <s v="O00360"/>
    <n v="46100"/>
    <s v="C105"/>
    <x v="4"/>
    <x v="2"/>
    <s v="SME"/>
    <s v="P005"/>
    <x v="16"/>
    <s v="Displays"/>
    <n v="1"/>
    <n v="2200"/>
    <x v="1"/>
    <s v="Bank Transfer"/>
    <n v="2200"/>
    <m/>
    <m/>
  </r>
  <r>
    <s v="O00361"/>
    <n v="46105"/>
    <s v="C023"/>
    <x v="2"/>
    <x v="1"/>
    <s v="Retail"/>
    <s v="P013"/>
    <x v="9"/>
    <s v="Accessories"/>
    <n v="1"/>
    <n v="320"/>
    <x v="5"/>
    <s v="Card"/>
    <n v="320"/>
    <m/>
    <m/>
  </r>
  <r>
    <s v="O00362"/>
    <n v="46095"/>
    <s v="C042"/>
    <x v="11"/>
    <x v="0"/>
    <s v="SME"/>
    <s v="P013"/>
    <x v="9"/>
    <s v="Accessories"/>
    <n v="4"/>
    <n v="320"/>
    <x v="2"/>
    <s v="Mobile Money"/>
    <n v="1280"/>
    <m/>
    <m/>
  </r>
  <r>
    <s v="O00363"/>
    <n v="46175"/>
    <s v="C120"/>
    <x v="91"/>
    <x v="3"/>
    <s v="SME"/>
    <s v="P007"/>
    <x v="5"/>
    <s v="Computers"/>
    <n v="10"/>
    <n v="5200"/>
    <x v="0"/>
    <s v="Mobile Money"/>
    <n v="52000"/>
    <m/>
    <m/>
  </r>
  <r>
    <s v="O00364"/>
    <n v="46205"/>
    <s v="C094"/>
    <x v="63"/>
    <x v="1"/>
    <s v="Corporate"/>
    <s v="P015"/>
    <x v="4"/>
    <s v="Audio"/>
    <n v="1"/>
    <n v="420"/>
    <x v="0"/>
    <s v="Mobile Money"/>
    <n v="420"/>
    <m/>
    <m/>
  </r>
  <r>
    <s v="O00365"/>
    <n v="46196"/>
    <s v="C105"/>
    <x v="4"/>
    <x v="2"/>
    <s v="SME"/>
    <s v="P014"/>
    <x v="8"/>
    <s v="Audio"/>
    <n v="2"/>
    <n v="650"/>
    <x v="3"/>
    <s v="Bank Transfer"/>
    <n v="1300"/>
    <m/>
    <m/>
  </r>
  <r>
    <s v="O00366"/>
    <n v="46207"/>
    <s v="C085"/>
    <x v="5"/>
    <x v="1"/>
    <s v="SME"/>
    <s v="P005"/>
    <x v="16"/>
    <s v="Displays"/>
    <n v="2"/>
    <n v="2200"/>
    <x v="4"/>
    <s v="Cash"/>
    <n v="4400"/>
    <m/>
    <m/>
  </r>
  <r>
    <s v="O00367"/>
    <n v="46173"/>
    <s v="C077"/>
    <x v="8"/>
    <x v="3"/>
    <s v="Retail"/>
    <s v="P016"/>
    <x v="15"/>
    <s v="Networking"/>
    <n v="2"/>
    <n v="619.5"/>
    <x v="0"/>
    <s v="Cash"/>
    <n v="1239"/>
    <m/>
    <m/>
  </r>
  <r>
    <s v="O00368"/>
    <n v="46226"/>
    <s v="C070"/>
    <x v="69"/>
    <x v="1"/>
    <s v="Corporate"/>
    <s v="P002"/>
    <x v="12"/>
    <s v="Accessories"/>
    <n v="8"/>
    <n v="252"/>
    <x v="5"/>
    <s v="Mobile Money"/>
    <n v="2016"/>
    <m/>
    <m/>
  </r>
  <r>
    <s v="O00369"/>
    <n v="46192"/>
    <s v="C014"/>
    <x v="93"/>
    <x v="3"/>
    <s v="SME"/>
    <s v="P008"/>
    <x v="1"/>
    <s v="Computers"/>
    <n v="3"/>
    <n v="8200"/>
    <x v="0"/>
    <s v="Mobile Money"/>
    <n v="24600"/>
    <m/>
    <m/>
  </r>
  <r>
    <s v="O00370"/>
    <n v="46216"/>
    <s v="C073"/>
    <x v="33"/>
    <x v="4"/>
    <s v="SME"/>
    <s v="P013"/>
    <x v="9"/>
    <s v="Accessories"/>
    <n v="1"/>
    <n v="320"/>
    <x v="4"/>
    <s v="Mobile Money"/>
    <n v="320"/>
    <m/>
    <m/>
  </r>
  <r>
    <s v="O00371"/>
    <n v="46080"/>
    <s v="C013"/>
    <x v="41"/>
    <x v="0"/>
    <s v="Retail"/>
    <s v="P009"/>
    <x v="7"/>
    <s v="Computers"/>
    <n v="2"/>
    <n v="3255"/>
    <x v="5"/>
    <s v="Card"/>
    <n v="6510"/>
    <m/>
    <m/>
  </r>
  <r>
    <s v="O00372"/>
    <n v="46124"/>
    <s v="C058"/>
    <x v="72"/>
    <x v="4"/>
    <s v="SME"/>
    <s v="P012"/>
    <x v="14"/>
    <s v="Storage"/>
    <n v="2"/>
    <n v="504"/>
    <x v="0"/>
    <s v="Card"/>
    <n v="1008"/>
    <m/>
    <m/>
  </r>
  <r>
    <s v="O00373"/>
    <n v="46147"/>
    <s v="C045"/>
    <x v="84"/>
    <x v="1"/>
    <s v="SME"/>
    <s v="P001"/>
    <x v="11"/>
    <s v="Accessories"/>
    <n v="1"/>
    <n v="85"/>
    <x v="4"/>
    <s v="Mobile Money"/>
    <n v="85"/>
    <m/>
    <m/>
  </r>
  <r>
    <s v="O00374"/>
    <n v="46113"/>
    <s v="C107"/>
    <x v="61"/>
    <x v="0"/>
    <s v="SME"/>
    <s v="P005"/>
    <x v="16"/>
    <s v="Displays"/>
    <n v="1"/>
    <n v="2200"/>
    <x v="3"/>
    <s v="Cash"/>
    <n v="2200"/>
    <m/>
    <m/>
  </r>
  <r>
    <s v="O00375"/>
    <n v="46048"/>
    <s v="C045"/>
    <x v="84"/>
    <x v="1"/>
    <s v="SME"/>
    <s v="P016"/>
    <x v="15"/>
    <s v="Networking"/>
    <n v="2"/>
    <n v="590"/>
    <x v="2"/>
    <s v="Mobile Money"/>
    <n v="1180"/>
    <m/>
    <m/>
  </r>
  <r>
    <s v="O00376"/>
    <n v="46231"/>
    <s v="C039"/>
    <x v="85"/>
    <x v="4"/>
    <s v="SME"/>
    <s v="P002"/>
    <x v="12"/>
    <s v="Accessories"/>
    <n v="3"/>
    <n v="228"/>
    <x v="2"/>
    <s v="Mobile Money"/>
    <n v="684"/>
    <m/>
    <m/>
  </r>
  <r>
    <s v="O00377"/>
    <n v="46213"/>
    <s v="C087"/>
    <x v="94"/>
    <x v="4"/>
    <s v="Retail"/>
    <s v="P006"/>
    <x v="10"/>
    <s v="Accessories"/>
    <n v="1"/>
    <n v="160"/>
    <x v="5"/>
    <s v="Card"/>
    <n v="160"/>
    <m/>
    <m/>
  </r>
  <r>
    <s v="O00378"/>
    <n v="46133"/>
    <s v="C043"/>
    <x v="88"/>
    <x v="3"/>
    <s v="Corporate"/>
    <s v="P018"/>
    <x v="0"/>
    <s v="Networking"/>
    <n v="8"/>
    <n v="95"/>
    <x v="1"/>
    <s v="Card"/>
    <n v="760"/>
    <m/>
    <m/>
  </r>
  <r>
    <s v="O00379"/>
    <n v="46125"/>
    <s v="C024"/>
    <x v="17"/>
    <x v="2"/>
    <s v="Retail"/>
    <s v="P014"/>
    <x v="8"/>
    <s v="Audio"/>
    <n v="1"/>
    <n v="682.5"/>
    <x v="3"/>
    <s v="Cash"/>
    <n v="682.5"/>
    <m/>
    <m/>
  </r>
  <r>
    <s v="O00380"/>
    <n v="46123"/>
    <s v="C076"/>
    <x v="70"/>
    <x v="3"/>
    <s v="Corporate"/>
    <s v="P014"/>
    <x v="8"/>
    <s v="Audio"/>
    <n v="1"/>
    <n v="650"/>
    <x v="3"/>
    <s v="Bank Transfer"/>
    <n v="650"/>
    <m/>
    <m/>
  </r>
  <r>
    <s v="O00381"/>
    <n v="46171"/>
    <s v="C097"/>
    <x v="37"/>
    <x v="3"/>
    <s v="Retail"/>
    <s v="P003"/>
    <x v="13"/>
    <s v="Accessories"/>
    <n v="1"/>
    <n v="189"/>
    <x v="3"/>
    <s v="Bank Transfer"/>
    <n v="189"/>
    <m/>
    <m/>
  </r>
  <r>
    <s v="O00382"/>
    <n v="46141"/>
    <s v="C042"/>
    <x v="11"/>
    <x v="0"/>
    <s v="SME"/>
    <s v="P007"/>
    <x v="5"/>
    <s v="Computers"/>
    <n v="1"/>
    <n v="5200"/>
    <x v="5"/>
    <s v="Bank Transfer"/>
    <n v="5200"/>
    <m/>
    <m/>
  </r>
  <r>
    <s v="O00383"/>
    <n v="46180"/>
    <s v="C077"/>
    <x v="8"/>
    <x v="3"/>
    <s v="Retail"/>
    <s v="P013"/>
    <x v="9"/>
    <s v="Accessories"/>
    <n v="2"/>
    <n v="304"/>
    <x v="2"/>
    <s v="Bank Transfer"/>
    <n v="608"/>
    <m/>
    <m/>
  </r>
  <r>
    <s v="O00384"/>
    <n v="46182"/>
    <s v="C109"/>
    <x v="35"/>
    <x v="1"/>
    <s v="SME"/>
    <s v="P015"/>
    <x v="4"/>
    <s v="Audio"/>
    <n v="1"/>
    <n v="420"/>
    <x v="5"/>
    <s v="Mobile Money"/>
    <n v="420"/>
    <m/>
    <m/>
  </r>
  <r>
    <s v="O00385"/>
    <n v="46104"/>
    <s v="C087"/>
    <x v="67"/>
    <x v="4"/>
    <s v="Retail"/>
    <s v="P005"/>
    <x v="16"/>
    <s v="Displays"/>
    <n v="1"/>
    <n v="2200"/>
    <x v="4"/>
    <s v="Card"/>
    <n v="2200"/>
    <m/>
    <m/>
  </r>
  <r>
    <s v="O00386"/>
    <n v="46154"/>
    <s v="C048"/>
    <x v="67"/>
    <x v="3"/>
    <s v="Corporate"/>
    <s v="P005"/>
    <x v="16"/>
    <s v="Displays"/>
    <n v="2"/>
    <n v="2310"/>
    <x v="3"/>
    <s v="Cash"/>
    <n v="4620"/>
    <m/>
    <m/>
  </r>
  <r>
    <s v="O00387"/>
    <n v="46148"/>
    <s v="C055"/>
    <x v="39"/>
    <x v="4"/>
    <s v="SME"/>
    <s v="P006"/>
    <x v="10"/>
    <s v="Accessories"/>
    <n v="3"/>
    <n v="160"/>
    <x v="5"/>
    <s v="Card"/>
    <n v="480"/>
    <m/>
    <m/>
  </r>
  <r>
    <s v="O00388"/>
    <n v="46059"/>
    <s v="C063"/>
    <x v="27"/>
    <x v="3"/>
    <s v="SME"/>
    <s v="P010"/>
    <x v="17"/>
    <s v="Storage"/>
    <n v="1"/>
    <n v="720"/>
    <x v="5"/>
    <s v="Mobile Money"/>
    <n v="720"/>
    <m/>
    <m/>
  </r>
  <r>
    <s v="O00389"/>
    <n v="46026"/>
    <s v="C111"/>
    <x v="54"/>
    <x v="5"/>
    <s v="SME"/>
    <s v="P012"/>
    <x v="14"/>
    <s v="Storage"/>
    <n v="2"/>
    <n v="480"/>
    <x v="1"/>
    <s v="Cash"/>
    <n v="960"/>
    <m/>
    <m/>
  </r>
  <r>
    <s v="O00390"/>
    <n v="46130"/>
    <s v="C053"/>
    <x v="52"/>
    <x v="2"/>
    <s v="Retail"/>
    <s v="P016"/>
    <x v="15"/>
    <s v="Networking"/>
    <n v="3"/>
    <n v="590"/>
    <x v="1"/>
    <s v="Card"/>
    <n v="1770"/>
    <m/>
    <m/>
  </r>
  <r>
    <s v="O00391"/>
    <n v="46227"/>
    <s v="C011"/>
    <x v="58"/>
    <x v="0"/>
    <s v="Retail"/>
    <s v="P001"/>
    <x v="11"/>
    <s v="Accessories"/>
    <n v="4"/>
    <n v="85"/>
    <x v="4"/>
    <s v="Bank Transfer"/>
    <n v="340"/>
    <m/>
    <m/>
  </r>
  <r>
    <s v="O00392"/>
    <n v="46097"/>
    <s v="C029"/>
    <x v="31"/>
    <x v="1"/>
    <s v="SME"/>
    <s v="P018"/>
    <x v="0"/>
    <s v="Networking"/>
    <n v="1"/>
    <n v="95"/>
    <x v="5"/>
    <s v="Cash"/>
    <n v="95"/>
    <m/>
    <m/>
  </r>
  <r>
    <s v="O00393"/>
    <n v="46052"/>
    <s v="C071"/>
    <x v="46"/>
    <x v="5"/>
    <s v="Corporate"/>
    <s v="P017"/>
    <x v="6"/>
    <s v="Networking"/>
    <n v="2"/>
    <n v="760"/>
    <x v="5"/>
    <s v="Bank Transfer"/>
    <n v="1520"/>
    <m/>
    <m/>
  </r>
  <r>
    <s v="O00394"/>
    <n v="46218"/>
    <s v="C070"/>
    <x v="69"/>
    <x v="1"/>
    <s v="Corporate"/>
    <s v="P002"/>
    <x v="12"/>
    <s v="Accessories"/>
    <n v="3"/>
    <n v="252"/>
    <x v="3"/>
    <s v="Cash"/>
    <n v="756"/>
    <m/>
    <m/>
  </r>
  <r>
    <s v="O00395"/>
    <n v="46100"/>
    <s v="C014"/>
    <x v="93"/>
    <x v="3"/>
    <s v="SME"/>
    <s v="P008"/>
    <x v="1"/>
    <s v="Computers"/>
    <n v="5"/>
    <n v="7790"/>
    <x v="1"/>
    <s v="Bank Transfer"/>
    <n v="38950"/>
    <m/>
    <m/>
  </r>
  <r>
    <s v="O00396"/>
    <n v="46136"/>
    <s v="C045"/>
    <x v="84"/>
    <x v="1"/>
    <s v="SME"/>
    <s v="P003"/>
    <x v="13"/>
    <s v="Accessories"/>
    <n v="5"/>
    <n v="171"/>
    <x v="3"/>
    <s v="Card"/>
    <n v="855"/>
    <m/>
    <m/>
  </r>
  <r>
    <s v="O00397"/>
    <n v="46244"/>
    <s v="C104"/>
    <x v="80"/>
    <x v="4"/>
    <s v="SME"/>
    <s v="P012"/>
    <x v="14"/>
    <s v="Storage"/>
    <n v="3"/>
    <n v="480"/>
    <x v="3"/>
    <s v="Card"/>
    <n v="1440"/>
    <m/>
    <m/>
  </r>
  <r>
    <s v="O00398"/>
    <n v="46232"/>
    <s v="C101"/>
    <x v="3"/>
    <x v="0"/>
    <s v="Retail"/>
    <s v="P007"/>
    <x v="5"/>
    <s v="Computers"/>
    <n v="1"/>
    <n v="4940"/>
    <x v="5"/>
    <s v="Bank Transfer"/>
    <n v="4940"/>
    <m/>
    <m/>
  </r>
  <r>
    <s v="O00399"/>
    <n v="46176"/>
    <s v="C069"/>
    <x v="65"/>
    <x v="5"/>
    <s v="SME"/>
    <s v="P009"/>
    <x v="7"/>
    <s v="Computers"/>
    <n v="2"/>
    <n v="3100"/>
    <x v="0"/>
    <s v="Bank Transfer"/>
    <n v="6200"/>
    <m/>
    <m/>
  </r>
  <r>
    <s v="O00400"/>
    <n v="46243"/>
    <s v="C038"/>
    <x v="78"/>
    <x v="5"/>
    <s v="SME"/>
    <s v="P009"/>
    <x v="7"/>
    <s v="Computers"/>
    <n v="2"/>
    <n v="2945"/>
    <x v="3"/>
    <s v="Cash"/>
    <n v="5890"/>
    <m/>
    <m/>
  </r>
  <r>
    <s v="O00401"/>
    <n v="46094"/>
    <s v="C118"/>
    <x v="51"/>
    <x v="0"/>
    <s v="SME"/>
    <s v="P002"/>
    <x v="12"/>
    <s v="Accessories"/>
    <n v="5"/>
    <n v="240"/>
    <x v="0"/>
    <s v="Card"/>
    <n v="1200"/>
    <m/>
    <m/>
  </r>
  <r>
    <s v="O00402"/>
    <n v="46206"/>
    <s v="C032"/>
    <x v="44"/>
    <x v="4"/>
    <s v="Corporate"/>
    <s v="P005"/>
    <x v="16"/>
    <s v="Displays"/>
    <n v="1"/>
    <n v="2200"/>
    <x v="0"/>
    <s v="Cash"/>
    <n v="2200"/>
    <m/>
    <m/>
  </r>
  <r>
    <s v="O00403"/>
    <n v="46171"/>
    <s v="C063"/>
    <x v="27"/>
    <x v="3"/>
    <s v="SME"/>
    <s v="P005"/>
    <x v="16"/>
    <s v="Displays"/>
    <n v="3"/>
    <n v="2200"/>
    <x v="1"/>
    <s v="Cash"/>
    <n v="6600"/>
    <m/>
    <m/>
  </r>
  <r>
    <s v="O00404"/>
    <n v="46127"/>
    <s v="C010"/>
    <x v="47"/>
    <x v="0"/>
    <s v="Retail"/>
    <s v="P003"/>
    <x v="13"/>
    <s v="Accessories"/>
    <n v="2"/>
    <n v="180"/>
    <x v="0"/>
    <s v="Bank Transfer"/>
    <n v="360"/>
    <m/>
    <m/>
  </r>
  <r>
    <s v="O00405"/>
    <n v="46107"/>
    <s v="C059"/>
    <x v="29"/>
    <x v="2"/>
    <s v="Retail"/>
    <s v="P016"/>
    <x v="15"/>
    <s v="Networking"/>
    <n v="2"/>
    <n v="560.5"/>
    <x v="0"/>
    <s v="Cash"/>
    <n v="1121"/>
    <m/>
    <m/>
  </r>
  <r>
    <s v="O00406"/>
    <n v="46241"/>
    <s v="C082"/>
    <x v="62"/>
    <x v="1"/>
    <s v="Corporate"/>
    <s v="P012"/>
    <x v="14"/>
    <s v="Storage"/>
    <n v="1"/>
    <n v="504"/>
    <x v="1"/>
    <s v="Card"/>
    <n v="504"/>
    <m/>
    <m/>
  </r>
  <r>
    <s v="O00407"/>
    <n v="46150"/>
    <s v="C055"/>
    <x v="39"/>
    <x v="4"/>
    <s v="SME"/>
    <s v="P007"/>
    <x v="5"/>
    <s v="Computers"/>
    <n v="1"/>
    <n v="5200"/>
    <x v="2"/>
    <s v="Card"/>
    <n v="5200"/>
    <m/>
    <m/>
  </r>
  <r>
    <s v="O00408"/>
    <n v="46225"/>
    <s v="C073"/>
    <x v="33"/>
    <x v="4"/>
    <s v="SME"/>
    <s v="P016"/>
    <x v="15"/>
    <s v="Networking"/>
    <n v="2"/>
    <n v="560.5"/>
    <x v="4"/>
    <s v="Mobile Money"/>
    <n v="1121"/>
    <m/>
    <m/>
  </r>
  <r>
    <s v="O00409"/>
    <n v="46028"/>
    <s v="C081"/>
    <x v="56"/>
    <x v="5"/>
    <s v="SME"/>
    <s v="P015"/>
    <x v="4"/>
    <s v="Audio"/>
    <n v="1"/>
    <n v="420"/>
    <x v="1"/>
    <s v="Cash"/>
    <n v="420"/>
    <m/>
    <m/>
  </r>
  <r>
    <s v="O00410"/>
    <n v="46075"/>
    <s v="C001"/>
    <x v="46"/>
    <x v="1"/>
    <s v="SME"/>
    <s v="P014"/>
    <x v="8"/>
    <s v="Audio"/>
    <n v="10"/>
    <n v="650"/>
    <x v="0"/>
    <s v="Bank Transfer"/>
    <n v="6500"/>
    <m/>
    <m/>
  </r>
  <r>
    <s v="O00411"/>
    <n v="46047"/>
    <s v="C021"/>
    <x v="82"/>
    <x v="0"/>
    <s v="Retail"/>
    <s v="P009"/>
    <x v="7"/>
    <s v="Computers"/>
    <n v="3"/>
    <n v="3100"/>
    <x v="4"/>
    <s v="Bank Transfer"/>
    <n v="9300"/>
    <m/>
    <m/>
  </r>
  <r>
    <s v="O00412"/>
    <n v="46037"/>
    <s v="C086"/>
    <x v="12"/>
    <x v="4"/>
    <s v="SME"/>
    <s v="P006"/>
    <x v="10"/>
    <s v="Accessories"/>
    <n v="2"/>
    <n v="160"/>
    <x v="0"/>
    <s v="Card"/>
    <n v="320"/>
    <m/>
    <m/>
  </r>
  <r>
    <s v="O00413"/>
    <n v="46204"/>
    <s v="C055"/>
    <x v="39"/>
    <x v="4"/>
    <s v="SME"/>
    <s v="P003"/>
    <x v="13"/>
    <s v="Accessories"/>
    <n v="1"/>
    <n v="180"/>
    <x v="1"/>
    <s v="Mobile Money"/>
    <n v="180"/>
    <m/>
    <m/>
  </r>
  <r>
    <s v="O00414"/>
    <n v="46156"/>
    <s v="C017"/>
    <x v="48"/>
    <x v="3"/>
    <s v="Retail"/>
    <s v="P008"/>
    <x v="1"/>
    <s v="Computers"/>
    <n v="3"/>
    <n v="7790"/>
    <x v="4"/>
    <s v="Bank Transfer"/>
    <n v="23370"/>
    <m/>
    <m/>
  </r>
  <r>
    <s v="O00415"/>
    <n v="46244"/>
    <s v="C105"/>
    <x v="4"/>
    <x v="2"/>
    <s v="SME"/>
    <s v="P004"/>
    <x v="3"/>
    <s v="Displays"/>
    <n v="2"/>
    <n v="1450"/>
    <x v="1"/>
    <s v="Mobile Money"/>
    <n v="2900"/>
    <m/>
    <m/>
  </r>
  <r>
    <s v="O00416"/>
    <n v="46046"/>
    <s v="C030"/>
    <x v="35"/>
    <x v="5"/>
    <s v="SME"/>
    <s v="P013"/>
    <x v="9"/>
    <s v="Accessories"/>
    <n v="3"/>
    <n v="304"/>
    <x v="4"/>
    <s v="Bank Transfer"/>
    <n v="912"/>
    <m/>
    <m/>
  </r>
  <r>
    <s v="O00417"/>
    <n v="46059"/>
    <s v="C048"/>
    <x v="67"/>
    <x v="3"/>
    <s v="Corporate"/>
    <s v="P010"/>
    <x v="17"/>
    <s v="Storage"/>
    <n v="2"/>
    <n v="720"/>
    <x v="0"/>
    <s v="Card"/>
    <n v="1440"/>
    <m/>
    <m/>
  </r>
  <r>
    <s v="O00418"/>
    <n v="46168"/>
    <s v="C009"/>
    <x v="73"/>
    <x v="3"/>
    <s v="Retail"/>
    <s v="P017"/>
    <x v="6"/>
    <s v="Networking"/>
    <n v="1"/>
    <n v="760"/>
    <x v="1"/>
    <s v="Bank Transfer"/>
    <n v="760"/>
    <m/>
    <m/>
  </r>
  <r>
    <s v="O00419"/>
    <n v="46184"/>
    <s v="C093"/>
    <x v="38"/>
    <x v="4"/>
    <s v="SME"/>
    <s v="P007"/>
    <x v="5"/>
    <s v="Computers"/>
    <n v="3"/>
    <n v="5200"/>
    <x v="5"/>
    <s v="Cash"/>
    <n v="15600"/>
    <m/>
    <m/>
  </r>
  <r>
    <s v="O00420"/>
    <n v="46046"/>
    <s v="C111"/>
    <x v="54"/>
    <x v="5"/>
    <s v="SME"/>
    <s v="P007"/>
    <x v="5"/>
    <s v="Computers"/>
    <n v="5"/>
    <n v="5200"/>
    <x v="4"/>
    <s v="Cash"/>
    <n v="26000"/>
    <m/>
    <m/>
  </r>
  <r>
    <s v="O00421"/>
    <n v="46104"/>
    <s v="C045"/>
    <x v="84"/>
    <x v="1"/>
    <s v="SME"/>
    <s v="P014"/>
    <x v="8"/>
    <s v="Audio"/>
    <n v="4"/>
    <n v="650"/>
    <x v="2"/>
    <s v="Mobile Money"/>
    <n v="2600"/>
    <m/>
    <m/>
  </r>
  <r>
    <s v="O00422"/>
    <n v="46177"/>
    <s v="C032"/>
    <x v="44"/>
    <x v="4"/>
    <s v="Corporate"/>
    <s v="P018"/>
    <x v="0"/>
    <s v="Networking"/>
    <n v="3"/>
    <n v="99.75"/>
    <x v="2"/>
    <s v="Mobile Money"/>
    <n v="299.25"/>
    <m/>
    <m/>
  </r>
  <r>
    <s v="O00423"/>
    <n v="46076"/>
    <s v="C109"/>
    <x v="35"/>
    <x v="1"/>
    <s v="SME"/>
    <s v="P010"/>
    <x v="17"/>
    <s v="Storage"/>
    <n v="2"/>
    <n v="756"/>
    <x v="3"/>
    <s v="Cash"/>
    <n v="1512"/>
    <m/>
    <m/>
  </r>
  <r>
    <s v="O00424"/>
    <n v="46224"/>
    <s v="C038"/>
    <x v="78"/>
    <x v="5"/>
    <s v="SME"/>
    <s v="P002"/>
    <x v="12"/>
    <s v="Accessories"/>
    <n v="5"/>
    <n v="240"/>
    <x v="1"/>
    <s v="Cash"/>
    <n v="1200"/>
    <m/>
    <m/>
  </r>
  <r>
    <s v="O00425"/>
    <n v="46151"/>
    <s v="C015"/>
    <x v="7"/>
    <x v="0"/>
    <s v="Corporate"/>
    <s v="P008"/>
    <x v="1"/>
    <s v="Computers"/>
    <n v="3"/>
    <n v="7790"/>
    <x v="5"/>
    <s v="Mobile Money"/>
    <n v="23370"/>
    <m/>
    <m/>
  </r>
  <r>
    <s v="O00426"/>
    <n v="46057"/>
    <s v="C047"/>
    <x v="10"/>
    <x v="2"/>
    <s v="Corporate"/>
    <s v="P011"/>
    <x v="2"/>
    <s v="Storage"/>
    <n v="2"/>
    <n v="115.5"/>
    <x v="1"/>
    <s v="Bank Transfer"/>
    <n v="231"/>
    <m/>
    <m/>
  </r>
  <r>
    <s v="O00428"/>
    <n v="46079"/>
    <s v="C002"/>
    <x v="55"/>
    <x v="2"/>
    <s v="Corporate"/>
    <s v="P009"/>
    <x v="7"/>
    <s v="Computers"/>
    <n v="1"/>
    <n v="2945"/>
    <x v="1"/>
    <s v="Bank Transfer"/>
    <n v="2945"/>
    <m/>
    <m/>
  </r>
  <r>
    <s v="O00429"/>
    <n v="46220"/>
    <s v="C081"/>
    <x v="56"/>
    <x v="5"/>
    <s v="SME"/>
    <s v="P017"/>
    <x v="6"/>
    <s v="Networking"/>
    <n v="2"/>
    <n v="760"/>
    <x v="4"/>
    <s v="Card"/>
    <n v="1520"/>
    <m/>
    <m/>
  </r>
  <r>
    <s v="O00430"/>
    <n v="46103"/>
    <s v="C036"/>
    <x v="22"/>
    <x v="3"/>
    <s v="Retail"/>
    <s v="P003"/>
    <x v="13"/>
    <s v="Accessories"/>
    <n v="1"/>
    <n v="180"/>
    <x v="3"/>
    <s v="Bank Transfer"/>
    <n v="180"/>
    <m/>
    <m/>
  </r>
  <r>
    <s v="O00431"/>
    <n v="46103"/>
    <s v="C051"/>
    <x v="34"/>
    <x v="4"/>
    <s v="Retail"/>
    <s v="P003"/>
    <x v="13"/>
    <s v="Accessories"/>
    <n v="3"/>
    <n v="189"/>
    <x v="4"/>
    <s v="Card"/>
    <n v="567"/>
    <m/>
    <m/>
  </r>
  <r>
    <s v="O00432"/>
    <n v="46053"/>
    <s v="C012"/>
    <x v="15"/>
    <x v="3"/>
    <s v="SME"/>
    <s v="P014"/>
    <x v="8"/>
    <s v="Audio"/>
    <n v="2"/>
    <n v="682.5"/>
    <x v="4"/>
    <s v="Bank Transfer"/>
    <n v="1365"/>
    <m/>
    <m/>
  </r>
  <r>
    <s v="O00433"/>
    <n v="46054"/>
    <s v="C086"/>
    <x v="12"/>
    <x v="4"/>
    <s v="SME"/>
    <s v="P006"/>
    <x v="10"/>
    <s v="Accessories"/>
    <n v="1"/>
    <n v="160"/>
    <x v="0"/>
    <s v="Mobile Money"/>
    <n v="160"/>
    <m/>
    <m/>
  </r>
  <r>
    <s v="O00434"/>
    <n v="46112"/>
    <s v="C021"/>
    <x v="82"/>
    <x v="0"/>
    <s v="Retail"/>
    <s v="P016"/>
    <x v="15"/>
    <s v="Networking"/>
    <n v="2"/>
    <n v="590"/>
    <x v="3"/>
    <s v="Bank Transfer"/>
    <n v="1180"/>
    <m/>
    <m/>
  </r>
  <r>
    <s v="O00435"/>
    <n v="46211"/>
    <s v="C017"/>
    <x v="48"/>
    <x v="3"/>
    <s v="Retail"/>
    <s v="P009"/>
    <x v="7"/>
    <s v="Computers"/>
    <n v="5"/>
    <n v="2945"/>
    <x v="2"/>
    <s v="Cash"/>
    <n v="14725"/>
    <m/>
    <m/>
  </r>
  <r>
    <s v="O00436"/>
    <n v="46040"/>
    <s v="C035"/>
    <x v="59"/>
    <x v="5"/>
    <s v="Retail"/>
    <s v="P017"/>
    <x v="6"/>
    <s v="Networking"/>
    <n v="1"/>
    <n v="798"/>
    <x v="0"/>
    <s v="Mobile Money"/>
    <n v="798"/>
    <m/>
    <m/>
  </r>
  <r>
    <s v="O00437"/>
    <n v="46154"/>
    <s v="C064"/>
    <x v="7"/>
    <x v="2"/>
    <s v="SME"/>
    <s v="P015"/>
    <x v="4"/>
    <s v="Audio"/>
    <n v="2"/>
    <n v="420"/>
    <x v="5"/>
    <s v="Card"/>
    <n v="840"/>
    <m/>
    <m/>
  </r>
  <r>
    <s v="O00438"/>
    <n v="46089"/>
    <s v="C048"/>
    <x v="67"/>
    <x v="3"/>
    <s v="Corporate"/>
    <s v="P006"/>
    <x v="10"/>
    <s v="Accessories"/>
    <n v="4"/>
    <n v="168"/>
    <x v="0"/>
    <s v="Mobile Money"/>
    <n v="672"/>
    <m/>
    <m/>
  </r>
  <r>
    <s v="O00439"/>
    <n v="46024"/>
    <s v="C030"/>
    <x v="35"/>
    <x v="5"/>
    <s v="SME"/>
    <s v="P017"/>
    <x v="6"/>
    <s v="Networking"/>
    <n v="1"/>
    <n v="722"/>
    <x v="3"/>
    <s v="Mobile Money"/>
    <n v="722"/>
    <m/>
    <m/>
  </r>
  <r>
    <s v="O00440"/>
    <n v="46122"/>
    <s v="C061"/>
    <x v="24"/>
    <x v="2"/>
    <s v="Retail"/>
    <s v="P012"/>
    <x v="14"/>
    <s v="Storage"/>
    <n v="6"/>
    <n v="480"/>
    <x v="4"/>
    <s v="Cash"/>
    <n v="2880"/>
    <m/>
    <m/>
  </r>
  <r>
    <s v="O00441"/>
    <n v="46087"/>
    <s v="C029"/>
    <x v="31"/>
    <x v="1"/>
    <s v="SME"/>
    <s v="P011"/>
    <x v="2"/>
    <s v="Storage"/>
    <n v="2"/>
    <n v="110"/>
    <x v="2"/>
    <s v="Mobile Money"/>
    <n v="220"/>
    <m/>
    <m/>
  </r>
  <r>
    <s v="O00442"/>
    <n v="46054"/>
    <s v="C074"/>
    <x v="43"/>
    <x v="2"/>
    <s v="SME"/>
    <s v="P012"/>
    <x v="14"/>
    <s v="Storage"/>
    <n v="2"/>
    <n v="456"/>
    <x v="3"/>
    <s v="Card"/>
    <n v="912"/>
    <m/>
    <m/>
  </r>
  <r>
    <s v="O00443"/>
    <n v="46035"/>
    <s v="C103"/>
    <x v="64"/>
    <x v="1"/>
    <s v="Corporate"/>
    <s v="P017"/>
    <x v="6"/>
    <s v="Networking"/>
    <n v="8"/>
    <n v="722"/>
    <x v="1"/>
    <s v="Bank Transfer"/>
    <n v="5776"/>
    <m/>
    <m/>
  </r>
  <r>
    <s v="O00444"/>
    <n v="46107"/>
    <s v="C100"/>
    <x v="0"/>
    <x v="0"/>
    <s v="Retail"/>
    <s v="P010"/>
    <x v="17"/>
    <s v="Storage"/>
    <n v="1"/>
    <n v="720"/>
    <x v="4"/>
    <s v="Bank Transfer"/>
    <n v="720"/>
    <m/>
    <m/>
  </r>
  <r>
    <s v="O00445"/>
    <n v="46168"/>
    <s v="C026"/>
    <x v="32"/>
    <x v="1"/>
    <s v="SME"/>
    <s v="P010"/>
    <x v="17"/>
    <s v="Storage"/>
    <n v="4"/>
    <n v="756"/>
    <x v="3"/>
    <s v="Cash"/>
    <n v="3024"/>
    <m/>
    <m/>
  </r>
  <r>
    <s v="O00446"/>
    <n v="46221"/>
    <s v="C048"/>
    <x v="67"/>
    <x v="3"/>
    <s v="Corporate"/>
    <s v="P016"/>
    <x v="15"/>
    <s v="Networking"/>
    <n v="4"/>
    <n v="619.5"/>
    <x v="3"/>
    <s v="Card"/>
    <n v="2478"/>
    <m/>
    <m/>
  </r>
  <r>
    <s v="O00447"/>
    <n v="46030"/>
    <s v="C001"/>
    <x v="46"/>
    <x v="1"/>
    <s v="SME"/>
    <s v="P014"/>
    <x v="8"/>
    <s v="Audio"/>
    <n v="1"/>
    <n v="650"/>
    <x v="0"/>
    <s v="Mobile Money"/>
    <n v="650"/>
    <m/>
    <m/>
  </r>
  <r>
    <s v="O00448"/>
    <n v="46218"/>
    <s v="C043"/>
    <x v="88"/>
    <x v="3"/>
    <s v="Corporate"/>
    <s v="P001"/>
    <x v="11"/>
    <s v="Accessories"/>
    <n v="3"/>
    <n v="85"/>
    <x v="4"/>
    <s v="Card"/>
    <n v="255"/>
    <m/>
    <m/>
  </r>
  <r>
    <s v="O00449"/>
    <n v="46131"/>
    <s v="C068"/>
    <x v="57"/>
    <x v="1"/>
    <s v="SME"/>
    <s v="P008"/>
    <x v="1"/>
    <s v="Computers"/>
    <n v="2"/>
    <n v="7790"/>
    <x v="3"/>
    <s v="Bank Transfer"/>
    <n v="15580"/>
    <m/>
    <m/>
  </r>
  <r>
    <s v="O00450"/>
    <n v="46259"/>
    <s v="C012"/>
    <x v="15"/>
    <x v="3"/>
    <s v="SME"/>
    <s v="P002"/>
    <x v="12"/>
    <s v="Accessories"/>
    <n v="1"/>
    <n v="252"/>
    <x v="1"/>
    <s v="Bank Transfer"/>
    <n v="252"/>
    <m/>
    <m/>
  </r>
  <r>
    <s v="O00451"/>
    <n v="46172"/>
    <s v="C059"/>
    <x v="29"/>
    <x v="2"/>
    <s v="Retail"/>
    <s v="P003"/>
    <x v="13"/>
    <s v="Accessories"/>
    <n v="1"/>
    <n v="180"/>
    <x v="0"/>
    <s v="Cash"/>
    <n v="180"/>
    <m/>
    <m/>
  </r>
  <r>
    <s v="O00452"/>
    <n v="46135"/>
    <s v="C010"/>
    <x v="47"/>
    <x v="0"/>
    <s v="Retail"/>
    <s v="P002"/>
    <x v="12"/>
    <s v="Accessories"/>
    <n v="3"/>
    <n v="240"/>
    <x v="3"/>
    <s v="Bank Transfer"/>
    <n v="720"/>
    <m/>
    <m/>
  </r>
  <r>
    <s v="O00453"/>
    <n v="46229"/>
    <s v="C034"/>
    <x v="45"/>
    <x v="0"/>
    <s v="Retail"/>
    <s v="P011"/>
    <x v="2"/>
    <s v="Storage"/>
    <n v="2"/>
    <n v="110"/>
    <x v="2"/>
    <s v="Cash"/>
    <n v="220"/>
    <m/>
    <m/>
  </r>
  <r>
    <s v="O00454"/>
    <n v="46043"/>
    <s v="C035"/>
    <x v="59"/>
    <x v="5"/>
    <s v="Retail"/>
    <s v="P008"/>
    <x v="1"/>
    <s v="Computers"/>
    <n v="6"/>
    <n v="8200"/>
    <x v="5"/>
    <s v="Mobile Money"/>
    <n v="49200"/>
    <m/>
    <m/>
  </r>
  <r>
    <s v="O00455"/>
    <n v="46066"/>
    <s v="C020"/>
    <x v="81"/>
    <x v="1"/>
    <s v="SME"/>
    <s v="P004"/>
    <x v="3"/>
    <s v="Displays"/>
    <n v="2"/>
    <n v="1450"/>
    <x v="1"/>
    <s v="Mobile Money"/>
    <n v="2900"/>
    <m/>
    <m/>
  </r>
  <r>
    <s v="O00456"/>
    <n v="46221"/>
    <s v="C069"/>
    <x v="65"/>
    <x v="5"/>
    <s v="SME"/>
    <s v="P012"/>
    <x v="14"/>
    <s v="Storage"/>
    <n v="1"/>
    <n v="480"/>
    <x v="1"/>
    <s v="Bank Transfer"/>
    <n v="480"/>
    <m/>
    <m/>
  </r>
  <r>
    <s v="O00457"/>
    <n v="46047"/>
    <s v="C110"/>
    <x v="26"/>
    <x v="0"/>
    <s v="Retail"/>
    <s v="P004"/>
    <x v="3"/>
    <s v="Displays"/>
    <n v="1"/>
    <n v="1450"/>
    <x v="0"/>
    <s v="Mobile Money"/>
    <n v="1450"/>
    <m/>
    <m/>
  </r>
  <r>
    <s v="O00458"/>
    <n v="46061"/>
    <s v="C028"/>
    <x v="68"/>
    <x v="3"/>
    <s v="Retail"/>
    <s v="P011"/>
    <x v="2"/>
    <s v="Storage"/>
    <n v="1"/>
    <n v="110"/>
    <x v="2"/>
    <s v="Cash"/>
    <n v="110"/>
    <m/>
    <m/>
  </r>
  <r>
    <s v="O00459"/>
    <n v="46197"/>
    <s v="C066"/>
    <x v="38"/>
    <x v="5"/>
    <s v="Retail"/>
    <s v="P002"/>
    <x v="12"/>
    <s v="Accessories"/>
    <n v="1"/>
    <n v="240"/>
    <x v="4"/>
    <s v="Cash"/>
    <n v="240"/>
    <m/>
    <m/>
  </r>
  <r>
    <s v="O00460"/>
    <n v="46166"/>
    <s v="C110"/>
    <x v="26"/>
    <x v="0"/>
    <s v="Retail"/>
    <s v="P015"/>
    <x v="4"/>
    <s v="Audio"/>
    <n v="3"/>
    <n v="420"/>
    <x v="4"/>
    <s v="Cash"/>
    <n v="1260"/>
    <m/>
    <m/>
  </r>
  <r>
    <s v="O00461"/>
    <n v="46055"/>
    <s v="C014"/>
    <x v="93"/>
    <x v="3"/>
    <s v="SME"/>
    <s v="P005"/>
    <x v="16"/>
    <s v="Displays"/>
    <n v="1"/>
    <n v="2200"/>
    <x v="3"/>
    <s v="Card"/>
    <n v="2200"/>
    <m/>
    <m/>
  </r>
  <r>
    <s v="O00462"/>
    <n v="46119"/>
    <s v="C106"/>
    <x v="4"/>
    <x v="3"/>
    <s v="Corporate"/>
    <s v="P013"/>
    <x v="9"/>
    <s v="Accessories"/>
    <n v="3"/>
    <n v="304"/>
    <x v="5"/>
    <s v="Bank Transfer"/>
    <n v="912"/>
    <m/>
    <m/>
  </r>
  <r>
    <s v="O00463"/>
    <n v="46029"/>
    <s v="C118"/>
    <x v="95"/>
    <x v="0"/>
    <s v="SME"/>
    <s v="P003"/>
    <x v="13"/>
    <s v="Accessories"/>
    <n v="10"/>
    <n v="180"/>
    <x v="0"/>
    <s v="Cash"/>
    <n v="1800"/>
    <m/>
    <m/>
  </r>
  <r>
    <s v="O00464"/>
    <n v="46047"/>
    <s v="C104"/>
    <x v="80"/>
    <x v="4"/>
    <s v="SME"/>
    <s v="P005"/>
    <x v="16"/>
    <s v="Displays"/>
    <n v="5"/>
    <n v="2200"/>
    <x v="4"/>
    <s v="Mobile Money"/>
    <n v="11000"/>
    <m/>
    <m/>
  </r>
  <r>
    <s v="O00465"/>
    <n v="46067"/>
    <s v="C060"/>
    <x v="53"/>
    <x v="4"/>
    <s v="Corporate"/>
    <s v="P002"/>
    <x v="12"/>
    <s v="Accessories"/>
    <n v="6"/>
    <n v="240"/>
    <x v="0"/>
    <s v="Cash"/>
    <n v="1440"/>
    <m/>
    <m/>
  </r>
  <r>
    <s v="O00466"/>
    <n v="46121"/>
    <s v="C064"/>
    <x v="7"/>
    <x v="2"/>
    <s v="SME"/>
    <s v="P001"/>
    <x v="11"/>
    <s v="Accessories"/>
    <n v="3"/>
    <n v="85"/>
    <x v="2"/>
    <s v="Card"/>
    <n v="255"/>
    <m/>
    <m/>
  </r>
  <r>
    <s v="O00467"/>
    <n v="46094"/>
    <s v="C117"/>
    <x v="28"/>
    <x v="2"/>
    <s v="SME"/>
    <s v="P006"/>
    <x v="10"/>
    <s v="Accessories"/>
    <n v="1"/>
    <n v="160"/>
    <x v="4"/>
    <s v="Card"/>
    <n v="160"/>
    <m/>
    <m/>
  </r>
  <r>
    <s v="O00468"/>
    <n v="46151"/>
    <s v="C083"/>
    <x v="6"/>
    <x v="2"/>
    <s v="SME"/>
    <s v="P010"/>
    <x v="17"/>
    <s v="Storage"/>
    <n v="2"/>
    <n v="756"/>
    <x v="1"/>
    <s v="Mobile Money"/>
    <n v="1512"/>
    <m/>
    <m/>
  </r>
  <r>
    <s v="O00469"/>
    <n v="46122"/>
    <s v="C012"/>
    <x v="15"/>
    <x v="3"/>
    <s v="SME"/>
    <s v="P009"/>
    <x v="7"/>
    <s v="Computers"/>
    <n v="1"/>
    <n v="3100"/>
    <x v="0"/>
    <s v="Card"/>
    <n v="3100"/>
    <m/>
    <m/>
  </r>
  <r>
    <s v="O00470"/>
    <n v="46227"/>
    <s v="C081"/>
    <x v="56"/>
    <x v="5"/>
    <s v="SME"/>
    <s v="P018"/>
    <x v="0"/>
    <s v="Networking"/>
    <n v="1"/>
    <n v="95"/>
    <x v="0"/>
    <s v="Bank Transfer"/>
    <n v="95"/>
    <m/>
    <m/>
  </r>
  <r>
    <s v="O00471"/>
    <n v="46224"/>
    <s v="C062"/>
    <x v="13"/>
    <x v="1"/>
    <s v="Retail"/>
    <s v="P018"/>
    <x v="0"/>
    <s v="Networking"/>
    <n v="2"/>
    <n v="99.75"/>
    <x v="5"/>
    <s v="Bank Transfer"/>
    <n v="199.5"/>
    <m/>
    <m/>
  </r>
  <r>
    <s v="O00472"/>
    <n v="46070"/>
    <s v="C050"/>
    <x v="9"/>
    <x v="0"/>
    <s v="Retail"/>
    <s v="P009"/>
    <x v="7"/>
    <s v="Computers"/>
    <n v="1"/>
    <n v="3255"/>
    <x v="3"/>
    <s v="Mobile Money"/>
    <n v="3255"/>
    <m/>
    <m/>
  </r>
  <r>
    <s v="O00473"/>
    <n v="46038"/>
    <s v="C115"/>
    <x v="20"/>
    <x v="3"/>
    <s v="Corporate"/>
    <s v="P009"/>
    <x v="7"/>
    <s v="Computers"/>
    <n v="4"/>
    <n v="3100"/>
    <x v="5"/>
    <s v="Bank Transfer"/>
    <n v="12400"/>
    <m/>
    <m/>
  </r>
  <r>
    <s v="O00474"/>
    <n v="46064"/>
    <s v="C099"/>
    <x v="7"/>
    <x v="2"/>
    <s v="Corporate"/>
    <s v="P008"/>
    <x v="1"/>
    <s v="Computers"/>
    <n v="1"/>
    <n v="8200"/>
    <x v="2"/>
    <s v="Mobile Money"/>
    <n v="8200"/>
    <m/>
    <m/>
  </r>
  <r>
    <s v="O00475"/>
    <n v="46171"/>
    <s v="C098"/>
    <x v="50"/>
    <x v="4"/>
    <s v="Retail"/>
    <s v="P008"/>
    <x v="1"/>
    <s v="Computers"/>
    <n v="5"/>
    <n v="8200"/>
    <x v="2"/>
    <s v="Card"/>
    <n v="41000"/>
    <m/>
    <m/>
  </r>
  <r>
    <s v="O00476"/>
    <n v="46175"/>
    <s v="C023"/>
    <x v="2"/>
    <x v="1"/>
    <s v="Retail"/>
    <s v="P008"/>
    <x v="1"/>
    <s v="Computers"/>
    <n v="1"/>
    <n v="8200"/>
    <x v="5"/>
    <s v="Mobile Money"/>
    <n v="8200"/>
    <m/>
    <m/>
  </r>
  <r>
    <s v="O00477"/>
    <n v="46169"/>
    <s v="C091"/>
    <x v="24"/>
    <x v="4"/>
    <s v="Retail"/>
    <s v="P012"/>
    <x v="14"/>
    <s v="Storage"/>
    <n v="2"/>
    <n v="504"/>
    <x v="3"/>
    <s v="Cash"/>
    <n v="1008"/>
    <m/>
    <m/>
  </r>
  <r>
    <s v="O00478"/>
    <n v="46068"/>
    <s v="C070"/>
    <x v="69"/>
    <x v="1"/>
    <s v="Corporate"/>
    <s v="P010"/>
    <x v="17"/>
    <s v="Storage"/>
    <n v="2"/>
    <n v="684"/>
    <x v="4"/>
    <s v="Card"/>
    <n v="1368"/>
    <m/>
    <m/>
  </r>
  <r>
    <s v="O00479"/>
    <n v="46029"/>
    <s v="C078"/>
    <x v="49"/>
    <x v="5"/>
    <s v="SME"/>
    <s v="P008"/>
    <x v="1"/>
    <s v="Computers"/>
    <n v="2"/>
    <n v="7790"/>
    <x v="2"/>
    <s v="Card"/>
    <n v="15580"/>
    <m/>
    <m/>
  </r>
  <r>
    <s v="O00480"/>
    <n v="46111"/>
    <s v="C104"/>
    <x v="80"/>
    <x v="4"/>
    <s v="SME"/>
    <s v="P005"/>
    <x v="16"/>
    <s v="Displays"/>
    <n v="3"/>
    <n v="2200"/>
    <x v="4"/>
    <s v="Mobile Money"/>
    <n v="6600"/>
    <m/>
    <m/>
  </r>
  <r>
    <s v="O00481"/>
    <n v="46222"/>
    <s v="C019"/>
    <x v="18"/>
    <x v="3"/>
    <s v="SME"/>
    <s v="P005"/>
    <x v="16"/>
    <s v="Displays"/>
    <n v="1"/>
    <n v="2310"/>
    <x v="2"/>
    <s v="Mobile Money"/>
    <n v="2310"/>
    <m/>
    <m/>
  </r>
  <r>
    <s v="O00482"/>
    <n v="46174"/>
    <s v="C048"/>
    <x v="94"/>
    <x v="3"/>
    <s v="Corporate"/>
    <s v="P013"/>
    <x v="9"/>
    <s v="Accessories"/>
    <n v="1"/>
    <n v="320"/>
    <x v="2"/>
    <s v="Card"/>
    <n v="320"/>
    <m/>
    <m/>
  </r>
  <r>
    <s v="O00483"/>
    <n v="46226"/>
    <s v="C021"/>
    <x v="82"/>
    <x v="0"/>
    <s v="Retail"/>
    <s v="P014"/>
    <x v="8"/>
    <s v="Audio"/>
    <n v="3"/>
    <n v="650"/>
    <x v="0"/>
    <s v="Bank Transfer"/>
    <n v="1950"/>
    <m/>
    <m/>
  </r>
  <r>
    <s v="O00484"/>
    <n v="46201"/>
    <s v="C023"/>
    <x v="2"/>
    <x v="1"/>
    <s v="Retail"/>
    <s v="P018"/>
    <x v="0"/>
    <s v="Networking"/>
    <n v="5"/>
    <n v="99.75"/>
    <x v="2"/>
    <s v="Card"/>
    <n v="498.75"/>
    <m/>
    <m/>
  </r>
  <r>
    <s v="O00485"/>
    <n v="46120"/>
    <s v="C086"/>
    <x v="12"/>
    <x v="4"/>
    <s v="SME"/>
    <s v="P006"/>
    <x v="10"/>
    <s v="Accessories"/>
    <n v="1"/>
    <n v="160"/>
    <x v="3"/>
    <s v="Card"/>
    <n v="160"/>
    <m/>
    <m/>
  </r>
  <r>
    <s v="O00486"/>
    <n v="46203"/>
    <s v="C094"/>
    <x v="63"/>
    <x v="1"/>
    <s v="Corporate"/>
    <s v="P001"/>
    <x v="11"/>
    <s v="Accessories"/>
    <n v="6"/>
    <n v="85"/>
    <x v="5"/>
    <s v="Mobile Money"/>
    <n v="510"/>
    <m/>
    <m/>
  </r>
  <r>
    <s v="O00487"/>
    <n v="46259"/>
    <s v="C024"/>
    <x v="17"/>
    <x v="2"/>
    <s v="Retail"/>
    <s v="P011"/>
    <x v="2"/>
    <s v="Storage"/>
    <n v="4"/>
    <n v="115.5"/>
    <x v="3"/>
    <s v="Mobile Money"/>
    <n v="462"/>
    <m/>
    <m/>
  </r>
  <r>
    <s v="O00488"/>
    <n v="46060"/>
    <s v="C120"/>
    <x v="91"/>
    <x v="3"/>
    <s v="SME"/>
    <s v="P016"/>
    <x v="15"/>
    <s v="Networking"/>
    <n v="1"/>
    <n v="560.5"/>
    <x v="3"/>
    <s v="Bank Transfer"/>
    <n v="560.5"/>
    <m/>
    <m/>
  </r>
  <r>
    <s v="O00489"/>
    <n v="46186"/>
    <s v="C041"/>
    <x v="23"/>
    <x v="4"/>
    <s v="SME"/>
    <s v="P006"/>
    <x v="10"/>
    <s v="Accessories"/>
    <n v="5"/>
    <n v="152"/>
    <x v="0"/>
    <s v="Bank Transfer"/>
    <n v="760"/>
    <m/>
    <m/>
  </r>
  <r>
    <s v="O00490"/>
    <n v="46091"/>
    <s v="C058"/>
    <x v="72"/>
    <x v="4"/>
    <s v="SME"/>
    <s v="P001"/>
    <x v="11"/>
    <s v="Accessories"/>
    <n v="1"/>
    <n v="80.75"/>
    <x v="2"/>
    <s v="Bank Transfer"/>
    <n v="80.75"/>
    <m/>
    <m/>
  </r>
  <r>
    <s v="O00491"/>
    <n v="46208"/>
    <s v="C101"/>
    <x v="3"/>
    <x v="0"/>
    <s v="Retail"/>
    <s v="P004"/>
    <x v="3"/>
    <s v="Displays"/>
    <n v="1"/>
    <n v="1450"/>
    <x v="1"/>
    <s v="Cash"/>
    <n v="1450"/>
    <m/>
    <m/>
  </r>
  <r>
    <s v="O00492"/>
    <n v="46150"/>
    <s v="C022"/>
    <x v="30"/>
    <x v="1"/>
    <s v="Corporate"/>
    <s v="P014"/>
    <x v="8"/>
    <s v="Audio"/>
    <n v="5"/>
    <n v="650"/>
    <x v="5"/>
    <s v="Cash"/>
    <n v="3250"/>
    <m/>
    <m/>
  </r>
  <r>
    <s v="O00493"/>
    <n v="46225"/>
    <s v="C013"/>
    <x v="41"/>
    <x v="0"/>
    <s v="Retail"/>
    <s v="P016"/>
    <x v="15"/>
    <s v="Networking"/>
    <n v="5"/>
    <n v="590"/>
    <x v="3"/>
    <s v="Cash"/>
    <n v="2950"/>
    <m/>
    <m/>
  </r>
  <r>
    <s v="O00494"/>
    <n v="46099"/>
    <s v="C010"/>
    <x v="47"/>
    <x v="0"/>
    <s v="Retail"/>
    <s v="P002"/>
    <x v="12"/>
    <s v="Accessories"/>
    <n v="1"/>
    <n v="240"/>
    <x v="4"/>
    <s v="Mobile Money"/>
    <n v="240"/>
    <m/>
    <m/>
  </r>
  <r>
    <s v="O00495"/>
    <n v="46251"/>
    <s v="C044"/>
    <x v="86"/>
    <x v="2"/>
    <s v="Corporate"/>
    <s v="P006"/>
    <x v="10"/>
    <s v="Accessories"/>
    <n v="2"/>
    <n v="152"/>
    <x v="5"/>
    <s v="Mobile Money"/>
    <n v="304"/>
    <m/>
    <m/>
  </r>
  <r>
    <s v="O00496"/>
    <n v="46204"/>
    <s v="C044"/>
    <x v="86"/>
    <x v="2"/>
    <s v="Corporate"/>
    <s v="P016"/>
    <x v="15"/>
    <s v="Networking"/>
    <n v="1"/>
    <n v="590"/>
    <x v="5"/>
    <s v="Cash"/>
    <n v="590"/>
    <m/>
    <m/>
  </r>
  <r>
    <s v="O00497"/>
    <n v="46049"/>
    <s v="C021"/>
    <x v="82"/>
    <x v="0"/>
    <s v="Retail"/>
    <s v="P002"/>
    <x v="12"/>
    <s v="Accessories"/>
    <n v="1"/>
    <n v="240"/>
    <x v="1"/>
    <s v="Bank Transfer"/>
    <n v="240"/>
    <m/>
    <m/>
  </r>
  <r>
    <s v="O00498"/>
    <n v="46100"/>
    <s v="C085"/>
    <x v="5"/>
    <x v="1"/>
    <s v="SME"/>
    <s v="P010"/>
    <x v="17"/>
    <s v="Storage"/>
    <n v="1"/>
    <n v="684"/>
    <x v="1"/>
    <s v="Cash"/>
    <n v="684"/>
    <m/>
    <m/>
  </r>
  <r>
    <s v="O00499"/>
    <n v="46116"/>
    <s v="C020"/>
    <x v="81"/>
    <x v="1"/>
    <s v="SME"/>
    <s v="P002"/>
    <x v="12"/>
    <s v="Accessories"/>
    <n v="1"/>
    <n v="228"/>
    <x v="2"/>
    <s v="Cash"/>
    <n v="228"/>
    <m/>
    <m/>
  </r>
  <r>
    <s v="O00500"/>
    <n v="46030"/>
    <s v="C026"/>
    <x v="32"/>
    <x v="1"/>
    <s v="SME"/>
    <s v="P004"/>
    <x v="3"/>
    <s v="Displays"/>
    <n v="1"/>
    <n v="1450"/>
    <x v="4"/>
    <s v="Cash"/>
    <n v="1450"/>
    <m/>
    <m/>
  </r>
  <r>
    <s v="O00501"/>
    <n v="46102"/>
    <s v="C109"/>
    <x v="35"/>
    <x v="1"/>
    <s v="SME"/>
    <s v="P004"/>
    <x v="3"/>
    <s v="Displays"/>
    <n v="4"/>
    <n v="1450"/>
    <x v="1"/>
    <s v="Bank Transfer"/>
    <n v="5800"/>
    <m/>
    <m/>
  </r>
  <r>
    <s v="O00502"/>
    <n v="46123"/>
    <s v="C012"/>
    <x v="15"/>
    <x v="3"/>
    <s v="SME"/>
    <s v="P018"/>
    <x v="0"/>
    <s v="Networking"/>
    <n v="1"/>
    <n v="95"/>
    <x v="2"/>
    <s v="Card"/>
    <n v="95"/>
    <m/>
    <m/>
  </r>
  <r>
    <s v="O00503"/>
    <n v="46091"/>
    <s v="C058"/>
    <x v="72"/>
    <x v="4"/>
    <s v="SME"/>
    <s v="P002"/>
    <x v="12"/>
    <s v="Accessories"/>
    <n v="2"/>
    <n v="240"/>
    <x v="3"/>
    <s v="Bank Transfer"/>
    <n v="480"/>
    <m/>
    <m/>
  </r>
  <r>
    <s v="O00504"/>
    <n v="46062"/>
    <s v="C073"/>
    <x v="33"/>
    <x v="4"/>
    <s v="SME"/>
    <s v="P002"/>
    <x v="12"/>
    <s v="Accessories"/>
    <n v="4"/>
    <n v="228"/>
    <x v="4"/>
    <s v="Bank Transfer"/>
    <n v="912"/>
    <m/>
    <m/>
  </r>
  <r>
    <s v="O00505"/>
    <n v="46129"/>
    <s v="C104"/>
    <x v="80"/>
    <x v="4"/>
    <s v="SME"/>
    <s v="P018"/>
    <x v="0"/>
    <s v="Networking"/>
    <n v="8"/>
    <n v="99.75"/>
    <x v="3"/>
    <s v="Mobile Money"/>
    <n v="798"/>
    <m/>
    <m/>
  </r>
  <r>
    <s v="O00506"/>
    <n v="46233"/>
    <s v="C108"/>
    <x v="21"/>
    <x v="1"/>
    <s v="SME"/>
    <s v="P013"/>
    <x v="9"/>
    <s v="Accessories"/>
    <n v="2"/>
    <n v="336"/>
    <x v="0"/>
    <s v="Cash"/>
    <n v="672"/>
    <m/>
    <m/>
  </r>
  <r>
    <s v="O00507"/>
    <n v="46145"/>
    <s v="C074"/>
    <x v="43"/>
    <x v="2"/>
    <s v="SME"/>
    <s v="P008"/>
    <x v="1"/>
    <s v="Computers"/>
    <n v="1"/>
    <n v="8200"/>
    <x v="0"/>
    <s v="Mobile Money"/>
    <n v="8200"/>
    <m/>
    <m/>
  </r>
  <r>
    <s v="O00508"/>
    <n v="46228"/>
    <s v="C065"/>
    <x v="36"/>
    <x v="4"/>
    <s v="Retail"/>
    <s v="P017"/>
    <x v="6"/>
    <s v="Networking"/>
    <n v="2"/>
    <n v="798"/>
    <x v="3"/>
    <s v="Mobile Money"/>
    <n v="1596"/>
    <m/>
    <m/>
  </r>
  <r>
    <s v="O00509"/>
    <n v="46068"/>
    <s v="C097"/>
    <x v="37"/>
    <x v="3"/>
    <s v="Unknown"/>
    <s v="P015"/>
    <x v="4"/>
    <s v="Audio"/>
    <n v="6"/>
    <n v="420"/>
    <x v="3"/>
    <s v="Card"/>
    <n v="2520"/>
    <m/>
    <m/>
  </r>
  <r>
    <s v="O00510"/>
    <n v="46132"/>
    <s v="C017"/>
    <x v="48"/>
    <x v="3"/>
    <s v="Retail"/>
    <s v="P002"/>
    <x v="12"/>
    <s v="Accessories"/>
    <n v="1"/>
    <n v="240"/>
    <x v="3"/>
    <s v="Card"/>
    <n v="240"/>
    <m/>
    <m/>
  </r>
  <r>
    <s v="O00511"/>
    <n v="46105"/>
    <s v="C107"/>
    <x v="61"/>
    <x v="0"/>
    <s v="SME"/>
    <s v="P009"/>
    <x v="7"/>
    <s v="Computers"/>
    <n v="6"/>
    <n v="2945"/>
    <x v="4"/>
    <s v="Cash"/>
    <n v="17670"/>
    <m/>
    <m/>
  </r>
  <r>
    <s v="O00512"/>
    <n v="46165"/>
    <s v="C072"/>
    <x v="87"/>
    <x v="3"/>
    <s v="Retail"/>
    <s v="P013"/>
    <x v="9"/>
    <s v="Accessories"/>
    <n v="1"/>
    <n v="320"/>
    <x v="5"/>
    <s v="Cash"/>
    <n v="320"/>
    <m/>
    <m/>
  </r>
  <r>
    <s v="O00513"/>
    <n v="46225"/>
    <s v="C118"/>
    <x v="51"/>
    <x v="0"/>
    <s v="SME"/>
    <s v="P001"/>
    <x v="11"/>
    <s v="Accessories"/>
    <n v="3"/>
    <n v="89.25"/>
    <x v="5"/>
    <s v="Cash"/>
    <n v="267.75"/>
    <m/>
    <m/>
  </r>
  <r>
    <s v="O00514"/>
    <n v="46062"/>
    <s v="C015"/>
    <x v="7"/>
    <x v="0"/>
    <s v="Corporate"/>
    <s v="P014"/>
    <x v="8"/>
    <s v="Audio"/>
    <n v="1"/>
    <n v="682.5"/>
    <x v="5"/>
    <s v="Mobile Money"/>
    <n v="682.5"/>
    <m/>
    <m/>
  </r>
  <r>
    <s v="O00515"/>
    <n v="46168"/>
    <s v="C119"/>
    <x v="1"/>
    <x v="0"/>
    <s v="Retail"/>
    <s v="P004"/>
    <x v="3"/>
    <s v="Displays"/>
    <n v="4"/>
    <n v="1450"/>
    <x v="5"/>
    <s v="Bank Transfer"/>
    <n v="5800"/>
    <m/>
    <m/>
  </r>
  <r>
    <s v="O00516"/>
    <n v="46091"/>
    <s v="C113"/>
    <x v="0"/>
    <x v="1"/>
    <s v="SME"/>
    <s v="P014"/>
    <x v="8"/>
    <s v="Audio"/>
    <n v="2"/>
    <n v="650"/>
    <x v="5"/>
    <s v="Cash"/>
    <n v="1300"/>
    <m/>
    <m/>
  </r>
  <r>
    <s v="O00517"/>
    <n v="46094"/>
    <s v="C005"/>
    <x v="20"/>
    <x v="2"/>
    <s v="Retail"/>
    <s v="P006"/>
    <x v="10"/>
    <s v="Accessories"/>
    <n v="2"/>
    <n v="168"/>
    <x v="5"/>
    <s v="Cash"/>
    <n v="336"/>
    <m/>
    <m/>
  </r>
  <r>
    <s v="O00518"/>
    <n v="46251"/>
    <s v="C005"/>
    <x v="20"/>
    <x v="2"/>
    <s v="Retail"/>
    <s v="P013"/>
    <x v="9"/>
    <s v="Accessories"/>
    <n v="5"/>
    <n v="320"/>
    <x v="4"/>
    <s v="Cash"/>
    <n v="1600"/>
    <m/>
    <m/>
  </r>
  <r>
    <s v="O00519"/>
    <n v="46253"/>
    <s v="C118"/>
    <x v="51"/>
    <x v="0"/>
    <s v="SME"/>
    <s v="P009"/>
    <x v="7"/>
    <s v="Computers"/>
    <n v="2"/>
    <n v="3100"/>
    <x v="2"/>
    <s v="Bank Transfer"/>
    <n v="6200"/>
    <m/>
    <m/>
  </r>
  <r>
    <s v="O00520"/>
    <n v="46243"/>
    <s v="C036"/>
    <x v="22"/>
    <x v="3"/>
    <s v="Retail"/>
    <s v="P016"/>
    <x v="15"/>
    <s v="Networking"/>
    <n v="3"/>
    <n v="560.5"/>
    <x v="3"/>
    <s v="Card"/>
    <n v="1681.5"/>
    <m/>
    <m/>
  </r>
  <r>
    <s v="O00521"/>
    <n v="46222"/>
    <s v="C039"/>
    <x v="85"/>
    <x v="4"/>
    <s v="SME"/>
    <s v="P015"/>
    <x v="4"/>
    <s v="Audio"/>
    <n v="4"/>
    <n v="420"/>
    <x v="0"/>
    <s v="Cash"/>
    <n v="1680"/>
    <m/>
    <m/>
  </r>
  <r>
    <s v="O00522"/>
    <n v="46072"/>
    <s v="C078"/>
    <x v="49"/>
    <x v="5"/>
    <s v="SME"/>
    <s v="P003"/>
    <x v="13"/>
    <s v="Accessories"/>
    <n v="2"/>
    <n v="180"/>
    <x v="0"/>
    <s v="Cash"/>
    <n v="360"/>
    <m/>
    <m/>
  </r>
  <r>
    <s v="O00523"/>
    <n v="46246"/>
    <s v="C098"/>
    <x v="50"/>
    <x v="4"/>
    <s v="Retail"/>
    <s v="P017"/>
    <x v="6"/>
    <s v="Networking"/>
    <n v="2"/>
    <n v="722"/>
    <x v="5"/>
    <s v="Card"/>
    <n v="1444"/>
    <m/>
    <m/>
  </r>
  <r>
    <s v="O00524"/>
    <n v="46205"/>
    <s v="C009"/>
    <x v="73"/>
    <x v="3"/>
    <s v="Retail"/>
    <s v="P010"/>
    <x v="17"/>
    <s v="Storage"/>
    <n v="2"/>
    <n v="720"/>
    <x v="5"/>
    <s v="Mobile Money"/>
    <n v="1440"/>
    <m/>
    <m/>
  </r>
  <r>
    <s v="O00525"/>
    <n v="46248"/>
    <s v="C023"/>
    <x v="2"/>
    <x v="1"/>
    <s v="Retail"/>
    <s v="P007"/>
    <x v="5"/>
    <s v="Computers"/>
    <n v="4"/>
    <n v="4940"/>
    <x v="3"/>
    <s v="Mobile Money"/>
    <n v="19760"/>
    <m/>
    <m/>
  </r>
  <r>
    <s v="O00526"/>
    <n v="46259"/>
    <s v="C059"/>
    <x v="29"/>
    <x v="2"/>
    <s v="Retail"/>
    <s v="P002"/>
    <x v="12"/>
    <s v="Accessories"/>
    <n v="2"/>
    <n v="240"/>
    <x v="2"/>
    <s v="Bank Transfer"/>
    <n v="480"/>
    <m/>
    <m/>
  </r>
  <r>
    <s v="O00527"/>
    <n v="46153"/>
    <s v="C106"/>
    <x v="4"/>
    <x v="3"/>
    <s v="Corporate"/>
    <s v="P015"/>
    <x v="4"/>
    <s v="Audio"/>
    <n v="2"/>
    <n v="399"/>
    <x v="0"/>
    <s v="Mobile Money"/>
    <n v="798"/>
    <m/>
    <m/>
  </r>
  <r>
    <s v="O00528"/>
    <n v="46149"/>
    <s v="C031"/>
    <x v="79"/>
    <x v="0"/>
    <s v="Retail"/>
    <s v="P012"/>
    <x v="14"/>
    <s v="Storage"/>
    <n v="3"/>
    <n v="480"/>
    <x v="1"/>
    <s v="Bank Transfer"/>
    <n v="1440"/>
    <m/>
    <m/>
  </r>
  <r>
    <s v="O00529"/>
    <n v="46238"/>
    <s v="C045"/>
    <x v="84"/>
    <x v="1"/>
    <s v="SME"/>
    <s v="P006"/>
    <x v="10"/>
    <s v="Accessories"/>
    <n v="5"/>
    <n v="152"/>
    <x v="2"/>
    <s v="Mobile Money"/>
    <n v="760"/>
    <m/>
    <m/>
  </r>
  <r>
    <s v="O00530"/>
    <n v="46065"/>
    <s v="C050"/>
    <x v="9"/>
    <x v="0"/>
    <s v="Retail"/>
    <s v="P002"/>
    <x v="12"/>
    <s v="Accessories"/>
    <n v="5"/>
    <n v="240"/>
    <x v="3"/>
    <s v="Card"/>
    <n v="1200"/>
    <m/>
    <m/>
  </r>
  <r>
    <s v="O00531"/>
    <n v="46092"/>
    <s v="C087"/>
    <x v="67"/>
    <x v="4"/>
    <s v="Retail"/>
    <s v="P007"/>
    <x v="5"/>
    <s v="Computers"/>
    <n v="3"/>
    <n v="5460"/>
    <x v="4"/>
    <s v="Mobile Money"/>
    <n v="16380"/>
    <m/>
    <m/>
  </r>
  <r>
    <s v="O00532"/>
    <n v="46189"/>
    <s v="C061"/>
    <x v="24"/>
    <x v="2"/>
    <s v="Retail"/>
    <s v="P005"/>
    <x v="16"/>
    <s v="Displays"/>
    <n v="1"/>
    <n v="2090"/>
    <x v="3"/>
    <s v="Bank Transfer"/>
    <n v="2090"/>
    <m/>
    <m/>
  </r>
  <r>
    <s v="O00533"/>
    <n v="46206"/>
    <s v="C078"/>
    <x v="49"/>
    <x v="5"/>
    <s v="SME"/>
    <s v="P010"/>
    <x v="17"/>
    <s v="Storage"/>
    <n v="8"/>
    <n v="720"/>
    <x v="1"/>
    <s v="Cash"/>
    <n v="5760"/>
    <m/>
    <m/>
  </r>
  <r>
    <s v="O00535"/>
    <n v="46025"/>
    <s v="C075"/>
    <x v="90"/>
    <x v="3"/>
    <s v="SME"/>
    <s v="P004"/>
    <x v="3"/>
    <s v="Displays"/>
    <n v="2"/>
    <n v="1450"/>
    <x v="5"/>
    <s v="Bank Transfer"/>
    <n v="2900"/>
    <m/>
    <m/>
  </r>
  <r>
    <s v="O00536"/>
    <n v="46147"/>
    <s v="C039"/>
    <x v="85"/>
    <x v="4"/>
    <s v="SME"/>
    <s v="P004"/>
    <x v="3"/>
    <s v="Displays"/>
    <n v="1"/>
    <n v="1450"/>
    <x v="0"/>
    <s v="Bank Transfer"/>
    <n v="1450"/>
    <m/>
    <m/>
  </r>
  <r>
    <s v="O00537"/>
    <n v="46090"/>
    <s v="C111"/>
    <x v="54"/>
    <x v="5"/>
    <s v="SME"/>
    <s v="P009"/>
    <x v="7"/>
    <s v="Computers"/>
    <n v="3"/>
    <n v="3100"/>
    <x v="3"/>
    <s v="Card"/>
    <n v="9300"/>
    <m/>
    <m/>
  </r>
  <r>
    <s v="O00538"/>
    <n v="46254"/>
    <s v="C067"/>
    <x v="96"/>
    <x v="5"/>
    <s v="Retail"/>
    <s v="P008"/>
    <x v="1"/>
    <s v="Computers"/>
    <n v="1"/>
    <n v="8610"/>
    <x v="1"/>
    <s v="Bank Transfer"/>
    <n v="8610"/>
    <m/>
    <m/>
  </r>
  <r>
    <s v="O00539"/>
    <n v="46208"/>
    <s v="C088"/>
    <x v="75"/>
    <x v="3"/>
    <s v="Retail"/>
    <s v="P005"/>
    <x v="16"/>
    <s v="Displays"/>
    <n v="1"/>
    <n v="2200"/>
    <x v="2"/>
    <s v="Bank Transfer"/>
    <n v="2200"/>
    <m/>
    <m/>
  </r>
  <r>
    <s v="O00540"/>
    <n v="46127"/>
    <s v="C117"/>
    <x v="28"/>
    <x v="2"/>
    <s v="SME"/>
    <s v="P014"/>
    <x v="8"/>
    <s v="Audio"/>
    <n v="2"/>
    <n v="617.5"/>
    <x v="5"/>
    <s v="Card"/>
    <n v="1235"/>
    <m/>
    <m/>
  </r>
  <r>
    <s v="O00541"/>
    <n v="46199"/>
    <s v="C044"/>
    <x v="86"/>
    <x v="2"/>
    <s v="Corporate"/>
    <s v="P008"/>
    <x v="1"/>
    <s v="Computers"/>
    <n v="2"/>
    <n v="8200"/>
    <x v="0"/>
    <s v="Bank Transfer"/>
    <n v="16400"/>
    <m/>
    <m/>
  </r>
  <r>
    <s v="O00542"/>
    <n v="46240"/>
    <s v="C065"/>
    <x v="36"/>
    <x v="4"/>
    <s v="Retail"/>
    <s v="P010"/>
    <x v="17"/>
    <s v="Storage"/>
    <n v="1"/>
    <n v="756"/>
    <x v="3"/>
    <s v="Bank Transfer"/>
    <n v="756"/>
    <m/>
    <m/>
  </r>
  <r>
    <s v="O00543"/>
    <n v="46056"/>
    <s v="C013"/>
    <x v="41"/>
    <x v="0"/>
    <s v="Retail"/>
    <s v="P016"/>
    <x v="15"/>
    <s v="Networking"/>
    <n v="3"/>
    <n v="619.5"/>
    <x v="3"/>
    <s v="Bank Transfer"/>
    <n v="1858.5"/>
    <m/>
    <m/>
  </r>
  <r>
    <s v="O00544"/>
    <n v="46080"/>
    <s v="C084"/>
    <x v="66"/>
    <x v="4"/>
    <s v="Corporate"/>
    <s v="P003"/>
    <x v="13"/>
    <s v="Accessories"/>
    <n v="2"/>
    <n v="180"/>
    <x v="1"/>
    <s v="Bank Transfer"/>
    <n v="360"/>
    <m/>
    <m/>
  </r>
  <r>
    <s v="O00545"/>
    <n v="46173"/>
    <s v="C048"/>
    <x v="94"/>
    <x v="3"/>
    <s v="Corporate"/>
    <s v="P009"/>
    <x v="7"/>
    <s v="Computers"/>
    <n v="1"/>
    <n v="2945"/>
    <x v="1"/>
    <s v="Mobile Money"/>
    <n v="2945"/>
    <m/>
    <m/>
  </r>
  <r>
    <s v="O00546"/>
    <n v="46144"/>
    <s v="C111"/>
    <x v="97"/>
    <x v="5"/>
    <s v="SME"/>
    <s v="P003"/>
    <x v="13"/>
    <s v="Accessories"/>
    <n v="5"/>
    <n v="189"/>
    <x v="4"/>
    <s v="Cash"/>
    <n v="945"/>
    <m/>
    <m/>
  </r>
  <r>
    <s v="O00547"/>
    <n v="46129"/>
    <s v="C068"/>
    <x v="57"/>
    <x v="1"/>
    <s v="SME"/>
    <s v="P010"/>
    <x v="17"/>
    <s v="Storage"/>
    <n v="1"/>
    <n v="720"/>
    <x v="3"/>
    <s v="Card"/>
    <n v="720"/>
    <m/>
    <m/>
  </r>
  <r>
    <s v="O00548"/>
    <n v="46169"/>
    <s v="C044"/>
    <x v="86"/>
    <x v="2"/>
    <s v="Corporate"/>
    <s v="P014"/>
    <x v="8"/>
    <s v="Audio"/>
    <n v="5"/>
    <n v="650"/>
    <x v="3"/>
    <s v="Bank Transfer"/>
    <n v="3250"/>
    <m/>
    <m/>
  </r>
  <r>
    <s v="O00549"/>
    <n v="46223"/>
    <s v="C111"/>
    <x v="54"/>
    <x v="5"/>
    <s v="SME"/>
    <s v="P006"/>
    <x v="10"/>
    <s v="Accessories"/>
    <n v="1"/>
    <n v="160"/>
    <x v="0"/>
    <s v="Card"/>
    <n v="160"/>
    <m/>
    <m/>
  </r>
  <r>
    <s v="O00550"/>
    <n v="46025"/>
    <s v="C041"/>
    <x v="23"/>
    <x v="4"/>
    <s v="SME"/>
    <s v="P002"/>
    <x v="12"/>
    <s v="Accessories"/>
    <n v="2"/>
    <n v="240"/>
    <x v="3"/>
    <s v="Card"/>
    <n v="480"/>
    <m/>
    <m/>
  </r>
  <r>
    <s v="O00551"/>
    <n v="46057"/>
    <s v="C063"/>
    <x v="27"/>
    <x v="3"/>
    <s v="SME"/>
    <s v="P003"/>
    <x v="13"/>
    <s v="Accessories"/>
    <n v="3"/>
    <n v="180"/>
    <x v="1"/>
    <s v="Cash"/>
    <n v="540"/>
    <m/>
    <m/>
  </r>
  <r>
    <s v="O00552"/>
    <n v="46025"/>
    <s v="C062"/>
    <x v="13"/>
    <x v="1"/>
    <s v="Retail"/>
    <s v="P013"/>
    <x v="9"/>
    <s v="Accessories"/>
    <n v="1"/>
    <n v="320"/>
    <x v="0"/>
    <s v="Bank Transfer"/>
    <n v="320"/>
    <m/>
    <m/>
  </r>
  <r>
    <s v="O00553"/>
    <n v="46217"/>
    <s v="C002"/>
    <x v="55"/>
    <x v="2"/>
    <s v="Corporate"/>
    <s v="P011"/>
    <x v="2"/>
    <s v="Storage"/>
    <n v="4"/>
    <n v="110"/>
    <x v="4"/>
    <s v="Mobile Money"/>
    <n v="440"/>
    <m/>
    <m/>
  </r>
  <r>
    <s v="O00554"/>
    <n v="46081"/>
    <s v="C081"/>
    <x v="56"/>
    <x v="5"/>
    <s v="SME"/>
    <s v="P008"/>
    <x v="1"/>
    <s v="Computers"/>
    <n v="3"/>
    <n v="8200"/>
    <x v="2"/>
    <s v="Card"/>
    <n v="24600"/>
    <m/>
    <m/>
  </r>
  <r>
    <s v="O00555"/>
    <n v="46152"/>
    <s v="C014"/>
    <x v="93"/>
    <x v="3"/>
    <s v="SME"/>
    <s v="P013"/>
    <x v="9"/>
    <s v="Accessories"/>
    <n v="2"/>
    <n v="320"/>
    <x v="4"/>
    <s v="Mobile Money"/>
    <n v="640"/>
    <m/>
    <m/>
  </r>
  <r>
    <s v="O00556"/>
    <n v="46140"/>
    <s v="C039"/>
    <x v="85"/>
    <x v="4"/>
    <s v="SME"/>
    <s v="P010"/>
    <x v="17"/>
    <s v="Storage"/>
    <n v="3"/>
    <n v="756"/>
    <x v="5"/>
    <s v="Bank Transfer"/>
    <n v="2268"/>
    <m/>
    <m/>
  </r>
  <r>
    <s v="O00557"/>
    <n v="46111"/>
    <s v="C056"/>
    <x v="74"/>
    <x v="4"/>
    <s v="Corporate"/>
    <s v="P005"/>
    <x v="16"/>
    <s v="Displays"/>
    <n v="10"/>
    <n v="2200"/>
    <x v="2"/>
    <s v="Card"/>
    <n v="22000"/>
    <m/>
    <m/>
  </r>
  <r>
    <s v="O00558"/>
    <n v="46028"/>
    <s v="C022"/>
    <x v="30"/>
    <x v="1"/>
    <s v="Corporate"/>
    <s v="P013"/>
    <x v="9"/>
    <s v="Accessories"/>
    <n v="1"/>
    <n v="320"/>
    <x v="3"/>
    <s v="Mobile Money"/>
    <n v="320"/>
    <m/>
    <m/>
  </r>
  <r>
    <s v="O00559"/>
    <n v="46067"/>
    <s v="C076"/>
    <x v="70"/>
    <x v="3"/>
    <s v="Corporate"/>
    <s v="P017"/>
    <x v="6"/>
    <s v="Networking"/>
    <n v="1"/>
    <n v="722"/>
    <x v="1"/>
    <s v="Bank Transfer"/>
    <n v="722"/>
    <m/>
    <m/>
  </r>
  <r>
    <s v="O00560"/>
    <n v="46183"/>
    <s v="C099"/>
    <x v="7"/>
    <x v="2"/>
    <s v="Corporate"/>
    <s v="P018"/>
    <x v="0"/>
    <s v="Networking"/>
    <n v="1"/>
    <n v="90.25"/>
    <x v="0"/>
    <s v="Mobile Money"/>
    <n v="90.25"/>
    <m/>
    <m/>
  </r>
  <r>
    <s v="O00561"/>
    <n v="46036"/>
    <s v="C084"/>
    <x v="66"/>
    <x v="4"/>
    <s v="Corporate"/>
    <s v="P001"/>
    <x v="11"/>
    <s v="Accessories"/>
    <n v="3"/>
    <n v="85"/>
    <x v="1"/>
    <s v="Cash"/>
    <n v="255"/>
    <m/>
    <m/>
  </r>
  <r>
    <s v="O00562"/>
    <n v="46088"/>
    <s v="C016"/>
    <x v="83"/>
    <x v="0"/>
    <s v="Corporate"/>
    <s v="P018"/>
    <x v="0"/>
    <s v="Networking"/>
    <n v="2"/>
    <n v="95"/>
    <x v="3"/>
    <s v="Mobile Money"/>
    <n v="190"/>
    <m/>
    <m/>
  </r>
  <r>
    <s v="O00563"/>
    <n v="46193"/>
    <s v="C039"/>
    <x v="85"/>
    <x v="4"/>
    <s v="SME"/>
    <s v="P014"/>
    <x v="8"/>
    <s v="Audio"/>
    <n v="1"/>
    <n v="682.5"/>
    <x v="2"/>
    <s v="Card"/>
    <n v="682.5"/>
    <m/>
    <m/>
  </r>
  <r>
    <s v="O00564"/>
    <n v="46154"/>
    <s v="C054"/>
    <x v="25"/>
    <x v="2"/>
    <s v="SME"/>
    <s v="P004"/>
    <x v="3"/>
    <s v="Displays"/>
    <n v="3"/>
    <n v="1377.5"/>
    <x v="2"/>
    <s v="Mobile Money"/>
    <n v="4132.5"/>
    <m/>
    <m/>
  </r>
  <r>
    <s v="O00565"/>
    <n v="46151"/>
    <s v="C101"/>
    <x v="3"/>
    <x v="0"/>
    <s v="Retail"/>
    <s v="P004"/>
    <x v="3"/>
    <s v="Displays"/>
    <n v="1"/>
    <n v="1450"/>
    <x v="2"/>
    <s v="Card"/>
    <n v="1450"/>
    <m/>
    <m/>
  </r>
  <r>
    <s v="O00566"/>
    <n v="46099"/>
    <s v="C046"/>
    <x v="16"/>
    <x v="2"/>
    <s v="Retail"/>
    <s v="P014"/>
    <x v="8"/>
    <s v="Audio"/>
    <n v="1"/>
    <n v="682.5"/>
    <x v="1"/>
    <s v="Card"/>
    <n v="682.5"/>
    <m/>
    <m/>
  </r>
  <r>
    <s v="O00567"/>
    <n v="46108"/>
    <s v="C089"/>
    <x v="2"/>
    <x v="3"/>
    <s v="Corporate"/>
    <s v="P016"/>
    <x v="15"/>
    <s v="Networking"/>
    <n v="1"/>
    <n v="560.5"/>
    <x v="0"/>
    <s v="Mobile Money"/>
    <n v="560.5"/>
    <m/>
    <m/>
  </r>
  <r>
    <s v="O00568"/>
    <n v="46237"/>
    <s v="C117"/>
    <x v="28"/>
    <x v="2"/>
    <s v="SME"/>
    <s v="P004"/>
    <x v="3"/>
    <s v="Displays"/>
    <n v="2"/>
    <n v="1450"/>
    <x v="3"/>
    <s v="Mobile Money"/>
    <n v="2900"/>
    <m/>
    <m/>
  </r>
  <r>
    <s v="O00569"/>
    <n v="46043"/>
    <s v="C100"/>
    <x v="0"/>
    <x v="0"/>
    <s v="Retail"/>
    <s v="P017"/>
    <x v="6"/>
    <s v="Networking"/>
    <n v="3"/>
    <n v="722"/>
    <x v="2"/>
    <s v="Card"/>
    <n v="2166"/>
    <m/>
    <m/>
  </r>
  <r>
    <s v="O00570"/>
    <n v="46091"/>
    <s v="C059"/>
    <x v="29"/>
    <x v="2"/>
    <s v="Retail"/>
    <s v="P010"/>
    <x v="17"/>
    <s v="Storage"/>
    <n v="2"/>
    <n v="684"/>
    <x v="3"/>
    <s v="Mobile Money"/>
    <n v="1368"/>
    <m/>
    <m/>
  </r>
  <r>
    <s v="O00571"/>
    <n v="46116"/>
    <s v="C110"/>
    <x v="26"/>
    <x v="0"/>
    <s v="Retail"/>
    <s v="P010"/>
    <x v="17"/>
    <s v="Storage"/>
    <n v="4"/>
    <n v="720"/>
    <x v="1"/>
    <s v="Mobile Money"/>
    <n v="2880"/>
    <m/>
    <m/>
  </r>
  <r>
    <s v="O00572"/>
    <n v="46026"/>
    <s v="C013"/>
    <x v="41"/>
    <x v="0"/>
    <s v="Retail"/>
    <s v="P002"/>
    <x v="12"/>
    <s v="Accessories"/>
    <n v="5"/>
    <n v="240"/>
    <x v="2"/>
    <s v="Bank Transfer"/>
    <n v="1200"/>
    <m/>
    <m/>
  </r>
  <r>
    <s v="O00573"/>
    <n v="46183"/>
    <s v="C115"/>
    <x v="20"/>
    <x v="3"/>
    <s v="Corporate"/>
    <s v="P015"/>
    <x v="4"/>
    <s v="Audio"/>
    <n v="1"/>
    <n v="399"/>
    <x v="2"/>
    <s v="Bank Transfer"/>
    <n v="399"/>
    <m/>
    <m/>
  </r>
  <r>
    <s v="O00574"/>
    <n v="46126"/>
    <s v="C024"/>
    <x v="17"/>
    <x v="2"/>
    <s v="Retail"/>
    <s v="P004"/>
    <x v="3"/>
    <s v="Displays"/>
    <n v="2"/>
    <n v="1450"/>
    <x v="2"/>
    <s v="Cash"/>
    <n v="2900"/>
    <m/>
    <m/>
  </r>
  <r>
    <s v="O00575"/>
    <n v="46228"/>
    <s v="C089"/>
    <x v="2"/>
    <x v="3"/>
    <s v="Corporate"/>
    <s v="P016"/>
    <x v="15"/>
    <s v="Networking"/>
    <n v="2"/>
    <n v="590"/>
    <x v="4"/>
    <s v="Card"/>
    <n v="1180"/>
    <m/>
    <m/>
  </r>
  <r>
    <s v="O00576"/>
    <n v="46240"/>
    <s v="C090"/>
    <x v="42"/>
    <x v="3"/>
    <s v="Corporate"/>
    <s v="P002"/>
    <x v="12"/>
    <s v="Accessories"/>
    <n v="1"/>
    <n v="240"/>
    <x v="5"/>
    <s v="Cash"/>
    <n v="240"/>
    <m/>
    <m/>
  </r>
  <r>
    <s v="O00577"/>
    <n v="46070"/>
    <s v="C103"/>
    <x v="64"/>
    <x v="1"/>
    <s v="Corporate"/>
    <s v="P015"/>
    <x v="4"/>
    <s v="Audio"/>
    <n v="3"/>
    <n v="420"/>
    <x v="5"/>
    <s v="Mobile Money"/>
    <n v="1260"/>
    <m/>
    <m/>
  </r>
  <r>
    <s v="O00578"/>
    <n v="46147"/>
    <s v="C111"/>
    <x v="54"/>
    <x v="5"/>
    <s v="SME"/>
    <s v="P005"/>
    <x v="16"/>
    <s v="Displays"/>
    <n v="6"/>
    <n v="2090"/>
    <x v="1"/>
    <s v="Cash"/>
    <n v="12540"/>
    <m/>
    <m/>
  </r>
  <r>
    <s v="O00579"/>
    <n v="46090"/>
    <s v="C006"/>
    <x v="16"/>
    <x v="3"/>
    <s v="Corporate"/>
    <s v="P003"/>
    <x v="13"/>
    <s v="Accessories"/>
    <n v="3"/>
    <n v="171"/>
    <x v="0"/>
    <s v="Card"/>
    <n v="513"/>
    <m/>
    <m/>
  </r>
  <r>
    <s v="O00580"/>
    <n v="46156"/>
    <s v="C086"/>
    <x v="12"/>
    <x v="4"/>
    <s v="SME"/>
    <s v="P011"/>
    <x v="2"/>
    <s v="Storage"/>
    <n v="2"/>
    <n v="115.5"/>
    <x v="4"/>
    <s v="Cash"/>
    <n v="231"/>
    <m/>
    <m/>
  </r>
  <r>
    <s v="O00581"/>
    <n v="46147"/>
    <s v="C085"/>
    <x v="5"/>
    <x v="1"/>
    <s v="SME"/>
    <s v="P008"/>
    <x v="1"/>
    <s v="Computers"/>
    <n v="2"/>
    <n v="8200"/>
    <x v="3"/>
    <s v="Mobile Money"/>
    <n v="16400"/>
    <m/>
    <m/>
  </r>
  <r>
    <s v="O00582"/>
    <n v="46153"/>
    <s v="C002"/>
    <x v="55"/>
    <x v="2"/>
    <s v="Corporate"/>
    <s v="P006"/>
    <x v="10"/>
    <s v="Accessories"/>
    <n v="5"/>
    <n v="160"/>
    <x v="3"/>
    <s v="Mobile Money"/>
    <n v="800"/>
    <m/>
    <m/>
  </r>
  <r>
    <s v="O00583"/>
    <n v="46106"/>
    <s v="C097"/>
    <x v="37"/>
    <x v="3"/>
    <s v="Retail"/>
    <s v="P016"/>
    <x v="15"/>
    <s v="Networking"/>
    <n v="1"/>
    <n v="590"/>
    <x v="4"/>
    <s v="Card"/>
    <n v="590"/>
    <m/>
    <m/>
  </r>
  <r>
    <s v="O00584"/>
    <n v="46127"/>
    <s v="C071"/>
    <x v="46"/>
    <x v="5"/>
    <s v="Corporate"/>
    <s v="P013"/>
    <x v="9"/>
    <s v="Accessories"/>
    <n v="4"/>
    <n v="304"/>
    <x v="1"/>
    <s v="Cash"/>
    <n v="1216"/>
    <m/>
    <m/>
  </r>
  <r>
    <s v="O00585"/>
    <n v="46046"/>
    <s v="C103"/>
    <x v="64"/>
    <x v="1"/>
    <s v="Corporate"/>
    <s v="P015"/>
    <x v="4"/>
    <s v="Audio"/>
    <n v="5"/>
    <n v="420"/>
    <x v="2"/>
    <s v="Mobile Money"/>
    <n v="2100"/>
    <m/>
    <m/>
  </r>
  <r>
    <s v="O00586"/>
    <n v="46050"/>
    <s v="C064"/>
    <x v="7"/>
    <x v="2"/>
    <s v="SME"/>
    <s v="P001"/>
    <x v="11"/>
    <s v="Accessories"/>
    <n v="2"/>
    <n v="80.75"/>
    <x v="5"/>
    <s v="Mobile Money"/>
    <n v="161.5"/>
    <m/>
    <m/>
  </r>
  <r>
    <s v="O00587"/>
    <n v="46226"/>
    <s v="C106"/>
    <x v="4"/>
    <x v="3"/>
    <s v="Corporate"/>
    <s v="P003"/>
    <x v="13"/>
    <s v="Accessories"/>
    <n v="3"/>
    <n v="189"/>
    <x v="0"/>
    <s v="Bank Transfer"/>
    <n v="567"/>
    <m/>
    <m/>
  </r>
  <r>
    <s v="O00588"/>
    <n v="46167"/>
    <s v="C114"/>
    <x v="17"/>
    <x v="5"/>
    <s v="Corporate"/>
    <s v="P017"/>
    <x v="6"/>
    <s v="Networking"/>
    <n v="1"/>
    <n v="760"/>
    <x v="2"/>
    <s v="Bank Transfer"/>
    <n v="760"/>
    <m/>
    <m/>
  </r>
  <r>
    <s v="O00589"/>
    <n v="46233"/>
    <s v="C106"/>
    <x v="4"/>
    <x v="3"/>
    <s v="Corporate"/>
    <s v="P002"/>
    <x v="12"/>
    <s v="Accessories"/>
    <n v="1"/>
    <n v="240"/>
    <x v="2"/>
    <s v="Cash"/>
    <n v="240"/>
    <m/>
    <m/>
  </r>
  <r>
    <s v="O00590"/>
    <n v="46207"/>
    <s v="C092"/>
    <x v="78"/>
    <x v="5"/>
    <s v="Corporate"/>
    <s v="P012"/>
    <x v="14"/>
    <s v="Storage"/>
    <n v="2"/>
    <n v="456"/>
    <x v="0"/>
    <s v="Card"/>
    <n v="912"/>
    <m/>
    <m/>
  </r>
  <r>
    <s v="O00591"/>
    <n v="46114"/>
    <s v="C001"/>
    <x v="46"/>
    <x v="1"/>
    <s v="SME"/>
    <s v="P011"/>
    <x v="2"/>
    <s v="Storage"/>
    <n v="4"/>
    <n v="110"/>
    <x v="5"/>
    <s v="Bank Transfer"/>
    <n v="440"/>
    <m/>
    <m/>
  </r>
  <r>
    <s v="O00592"/>
    <n v="46035"/>
    <s v="C090"/>
    <x v="42"/>
    <x v="3"/>
    <s v="Corporate"/>
    <s v="P004"/>
    <x v="3"/>
    <s v="Displays"/>
    <n v="5"/>
    <n v="1450"/>
    <x v="3"/>
    <s v="Cash"/>
    <n v="7250"/>
    <m/>
    <m/>
  </r>
  <r>
    <s v="O00593"/>
    <n v="46180"/>
    <s v="C014"/>
    <x v="93"/>
    <x v="3"/>
    <s v="SME"/>
    <s v="P009"/>
    <x v="7"/>
    <s v="Computers"/>
    <n v="1"/>
    <n v="2945"/>
    <x v="1"/>
    <s v="Card"/>
    <n v="2945"/>
    <m/>
    <m/>
  </r>
  <r>
    <s v="O00594"/>
    <n v="46207"/>
    <s v="C059"/>
    <x v="29"/>
    <x v="2"/>
    <s v="Retail"/>
    <s v="P007"/>
    <x v="5"/>
    <s v="Computers"/>
    <n v="1"/>
    <n v="5200"/>
    <x v="4"/>
    <s v="Mobile Money"/>
    <n v="5200"/>
    <m/>
    <m/>
  </r>
  <r>
    <s v="O00595"/>
    <n v="46141"/>
    <s v="C099"/>
    <x v="7"/>
    <x v="2"/>
    <s v="Corporate"/>
    <s v="P015"/>
    <x v="4"/>
    <s v="Audio"/>
    <n v="3"/>
    <n v="441"/>
    <x v="3"/>
    <s v="Cash"/>
    <n v="1323"/>
    <m/>
    <m/>
  </r>
  <r>
    <s v="O00596"/>
    <n v="46212"/>
    <s v="C001"/>
    <x v="46"/>
    <x v="1"/>
    <s v="SME"/>
    <s v="P017"/>
    <x v="6"/>
    <s v="Networking"/>
    <n v="1"/>
    <n v="760"/>
    <x v="5"/>
    <s v="Cash"/>
    <n v="760"/>
    <m/>
    <m/>
  </r>
  <r>
    <s v="O00597"/>
    <n v="46223"/>
    <s v="C119"/>
    <x v="1"/>
    <x v="0"/>
    <s v="Retail"/>
    <s v="P017"/>
    <x v="6"/>
    <s v="Networking"/>
    <n v="6"/>
    <n v="760"/>
    <x v="0"/>
    <s v="Card"/>
    <n v="4560"/>
    <m/>
    <m/>
  </r>
  <r>
    <s v="O00598"/>
    <n v="46050"/>
    <s v="C094"/>
    <x v="63"/>
    <x v="1"/>
    <s v="Corporate"/>
    <s v="P005"/>
    <x v="16"/>
    <s v="Displays"/>
    <n v="2"/>
    <n v="2310"/>
    <x v="5"/>
    <s v="Bank Transfer"/>
    <n v="4620"/>
    <m/>
    <m/>
  </r>
  <r>
    <s v="O00599"/>
    <n v="46131"/>
    <s v="C065"/>
    <x v="36"/>
    <x v="4"/>
    <s v="Retail"/>
    <s v="P013"/>
    <x v="9"/>
    <s v="Accessories"/>
    <n v="8"/>
    <n v="320"/>
    <x v="2"/>
    <s v="Cash"/>
    <n v="2560"/>
    <m/>
    <m/>
  </r>
  <r>
    <s v="O00600"/>
    <n v="46139"/>
    <s v="C044"/>
    <x v="86"/>
    <x v="2"/>
    <s v="Corporate"/>
    <s v="P010"/>
    <x v="17"/>
    <s v="Storage"/>
    <n v="4"/>
    <n v="720"/>
    <x v="1"/>
    <s v="Bank Transfer"/>
    <n v="2880"/>
    <m/>
    <m/>
  </r>
  <r>
    <s v="O00601"/>
    <n v="46244"/>
    <s v="C108"/>
    <x v="21"/>
    <x v="1"/>
    <s v="SME"/>
    <s v="P018"/>
    <x v="0"/>
    <s v="Networking"/>
    <n v="1"/>
    <n v="99.75"/>
    <x v="0"/>
    <s v="Card"/>
    <n v="99.75"/>
    <m/>
    <m/>
  </r>
  <r>
    <s v="O00602"/>
    <n v="46183"/>
    <s v="C026"/>
    <x v="32"/>
    <x v="1"/>
    <s v="SME"/>
    <s v="P007"/>
    <x v="5"/>
    <s v="Computers"/>
    <n v="3"/>
    <n v="5200"/>
    <x v="0"/>
    <s v="Card"/>
    <n v="15600"/>
    <m/>
    <m/>
  </r>
  <r>
    <s v="O00603"/>
    <n v="46152"/>
    <s v="C091"/>
    <x v="24"/>
    <x v="4"/>
    <s v="Retail"/>
    <s v="P006"/>
    <x v="10"/>
    <s v="Accessories"/>
    <n v="2"/>
    <n v="160"/>
    <x v="0"/>
    <s v="Mobile Money"/>
    <n v="320"/>
    <m/>
    <m/>
  </r>
  <r>
    <s v="O00604"/>
    <n v="46167"/>
    <s v="C098"/>
    <x v="50"/>
    <x v="4"/>
    <s v="Retail"/>
    <s v="P012"/>
    <x v="14"/>
    <s v="Storage"/>
    <n v="2"/>
    <n v="504"/>
    <x v="0"/>
    <s v="Cash"/>
    <n v="1008"/>
    <m/>
    <m/>
  </r>
  <r>
    <s v="O00605"/>
    <n v="46097"/>
    <s v="C087"/>
    <x v="67"/>
    <x v="4"/>
    <s v="Retail"/>
    <s v="P018"/>
    <x v="0"/>
    <s v="Networking"/>
    <n v="5"/>
    <n v="95"/>
    <x v="4"/>
    <s v="Mobile Money"/>
    <n v="475"/>
    <m/>
    <m/>
  </r>
  <r>
    <s v="O00606"/>
    <n v="46061"/>
    <s v="C004"/>
    <x v="2"/>
    <x v="5"/>
    <s v="Retail"/>
    <s v="P013"/>
    <x v="9"/>
    <s v="Accessories"/>
    <n v="1"/>
    <n v="304"/>
    <x v="3"/>
    <s v="Bank Transfer"/>
    <n v="304"/>
    <m/>
    <m/>
  </r>
  <r>
    <s v="O00607"/>
    <n v="46097"/>
    <s v="C097"/>
    <x v="37"/>
    <x v="3"/>
    <s v="Retail"/>
    <s v="P006"/>
    <x v="10"/>
    <s v="Accessories"/>
    <n v="3"/>
    <n v="160"/>
    <x v="4"/>
    <s v="Bank Transfer"/>
    <n v="480"/>
    <m/>
    <m/>
  </r>
  <r>
    <s v="O00608"/>
    <n v="46032"/>
    <s v="C027"/>
    <x v="34"/>
    <x v="3"/>
    <s v="SME"/>
    <s v="P018"/>
    <x v="0"/>
    <s v="Networking"/>
    <n v="2"/>
    <n v="95"/>
    <x v="4"/>
    <s v="Card"/>
    <n v="190"/>
    <m/>
    <m/>
  </r>
  <r>
    <s v="O00609"/>
    <n v="46123"/>
    <s v="C096"/>
    <x v="71"/>
    <x v="1"/>
    <s v="SME"/>
    <s v="P018"/>
    <x v="0"/>
    <s v="Networking"/>
    <n v="1"/>
    <n v="95"/>
    <x v="0"/>
    <s v="Mobile Money"/>
    <n v="95"/>
    <m/>
    <m/>
  </r>
  <r>
    <s v="O00610"/>
    <n v="46123"/>
    <s v="C119"/>
    <x v="1"/>
    <x v="0"/>
    <s v="Retail"/>
    <s v="P013"/>
    <x v="9"/>
    <s v="Accessories"/>
    <n v="2"/>
    <n v="320"/>
    <x v="5"/>
    <s v="Mobile Money"/>
    <n v="640"/>
    <m/>
    <m/>
  </r>
  <r>
    <s v="O00611"/>
    <n v="46075"/>
    <s v="C002"/>
    <x v="55"/>
    <x v="2"/>
    <s v="Corporate"/>
    <s v="P009"/>
    <x v="7"/>
    <s v="Computers"/>
    <n v="3"/>
    <n v="3100"/>
    <x v="3"/>
    <s v="Bank Transfer"/>
    <n v="9300"/>
    <m/>
    <m/>
  </r>
  <r>
    <s v="O00612"/>
    <n v="46213"/>
    <s v="C097"/>
    <x v="37"/>
    <x v="3"/>
    <s v="Retail"/>
    <s v="P018"/>
    <x v="0"/>
    <s v="Networking"/>
    <n v="3"/>
    <n v="95"/>
    <x v="2"/>
    <s v="Cash"/>
    <n v="285"/>
    <m/>
    <m/>
  </r>
  <r>
    <s v="O00613"/>
    <n v="46071"/>
    <s v="C023"/>
    <x v="2"/>
    <x v="1"/>
    <s v="Retail"/>
    <s v="P003"/>
    <x v="13"/>
    <s v="Accessories"/>
    <n v="8"/>
    <n v="189"/>
    <x v="4"/>
    <s v="Cash"/>
    <n v="1512"/>
    <m/>
    <m/>
  </r>
  <r>
    <s v="O00614"/>
    <n v="46095"/>
    <s v="C006"/>
    <x v="16"/>
    <x v="3"/>
    <s v="Corporate"/>
    <s v="P014"/>
    <x v="8"/>
    <s v="Audio"/>
    <n v="2"/>
    <n v="650"/>
    <x v="3"/>
    <s v="Bank Transfer"/>
    <n v="1300"/>
    <m/>
    <m/>
  </r>
  <r>
    <s v="O00615"/>
    <n v="46143"/>
    <s v="C001"/>
    <x v="46"/>
    <x v="1"/>
    <s v="SME"/>
    <s v="P011"/>
    <x v="2"/>
    <s v="Storage"/>
    <n v="3"/>
    <n v="110"/>
    <x v="4"/>
    <s v="Card"/>
    <n v="330"/>
    <m/>
    <m/>
  </r>
  <r>
    <s v="O00616"/>
    <n v="46176"/>
    <s v="C119"/>
    <x v="1"/>
    <x v="0"/>
    <s v="Retail"/>
    <s v="P011"/>
    <x v="2"/>
    <s v="Storage"/>
    <n v="1"/>
    <n v="115.5"/>
    <x v="0"/>
    <s v="Bank Transfer"/>
    <n v="115.5"/>
    <m/>
    <m/>
  </r>
  <r>
    <s v="O00617"/>
    <n v="46115"/>
    <s v="C063"/>
    <x v="27"/>
    <x v="3"/>
    <s v="SME"/>
    <s v="P018"/>
    <x v="0"/>
    <s v="Networking"/>
    <n v="1"/>
    <n v="95"/>
    <x v="5"/>
    <s v="Card"/>
    <n v="95"/>
    <m/>
    <m/>
  </r>
  <r>
    <s v="O00618"/>
    <n v="46041"/>
    <s v="C024"/>
    <x v="17"/>
    <x v="2"/>
    <s v="Retail"/>
    <s v="P017"/>
    <x v="6"/>
    <s v="Networking"/>
    <n v="4"/>
    <n v="760"/>
    <x v="1"/>
    <s v="Cash"/>
    <n v="3040"/>
    <m/>
    <m/>
  </r>
  <r>
    <s v="O00619"/>
    <n v="46080"/>
    <s v="C012"/>
    <x v="15"/>
    <x v="3"/>
    <s v="SME"/>
    <s v="P012"/>
    <x v="14"/>
    <s v="Storage"/>
    <n v="5"/>
    <n v="480"/>
    <x v="2"/>
    <s v="Bank Transfer"/>
    <n v="2400"/>
    <m/>
    <m/>
  </r>
  <r>
    <s v="O00620"/>
    <n v="46216"/>
    <s v="C038"/>
    <x v="78"/>
    <x v="5"/>
    <s v="SME"/>
    <s v="P007"/>
    <x v="5"/>
    <s v="Computers"/>
    <n v="3"/>
    <n v="5200"/>
    <x v="5"/>
    <s v="Mobile Money"/>
    <n v="15600"/>
    <m/>
    <m/>
  </r>
  <r>
    <s v="O00621"/>
    <n v="46138"/>
    <s v="C015"/>
    <x v="7"/>
    <x v="0"/>
    <s v="Corporate"/>
    <s v="P012"/>
    <x v="14"/>
    <s v="Storage"/>
    <n v="1"/>
    <n v="504"/>
    <x v="5"/>
    <s v="Card"/>
    <n v="504"/>
    <m/>
    <m/>
  </r>
  <r>
    <s v="O00622"/>
    <n v="46121"/>
    <s v="C006"/>
    <x v="16"/>
    <x v="3"/>
    <s v="Corporate"/>
    <s v="P011"/>
    <x v="2"/>
    <s v="Storage"/>
    <n v="6"/>
    <n v="104.5"/>
    <x v="1"/>
    <s v="Bank Transfer"/>
    <n v="627"/>
    <m/>
    <m/>
  </r>
  <r>
    <s v="O00623"/>
    <n v="46030"/>
    <s v="C070"/>
    <x v="69"/>
    <x v="1"/>
    <s v="Corporate"/>
    <s v="P010"/>
    <x v="17"/>
    <s v="Storage"/>
    <n v="6"/>
    <n v="720"/>
    <x v="5"/>
    <s v="Cash"/>
    <n v="4320"/>
    <m/>
    <m/>
  </r>
  <r>
    <s v="O00624"/>
    <n v="46099"/>
    <s v="C063"/>
    <x v="27"/>
    <x v="3"/>
    <s v="SME"/>
    <s v="P002"/>
    <x v="12"/>
    <s v="Accessories"/>
    <n v="5"/>
    <n v="240"/>
    <x v="2"/>
    <s v="Mobile Money"/>
    <n v="1200"/>
    <m/>
    <m/>
  </r>
  <r>
    <s v="O00625"/>
    <n v="46221"/>
    <s v="C013"/>
    <x v="41"/>
    <x v="0"/>
    <s v="Retail"/>
    <s v="P006"/>
    <x v="10"/>
    <s v="Accessories"/>
    <n v="2"/>
    <n v="152"/>
    <x v="0"/>
    <s v="Mobile Money"/>
    <n v="304"/>
    <m/>
    <m/>
  </r>
  <r>
    <s v="O00626"/>
    <n v="46245"/>
    <s v="C027"/>
    <x v="34"/>
    <x v="3"/>
    <s v="SME"/>
    <s v="P007"/>
    <x v="5"/>
    <s v="Computers"/>
    <n v="3"/>
    <n v="4940"/>
    <x v="3"/>
    <s v="Cash"/>
    <n v="14820"/>
    <m/>
    <m/>
  </r>
  <r>
    <s v="O00627"/>
    <n v="46215"/>
    <s v="C083"/>
    <x v="6"/>
    <x v="2"/>
    <s v="SME"/>
    <s v="P003"/>
    <x v="13"/>
    <s v="Accessories"/>
    <n v="3"/>
    <n v="171"/>
    <x v="1"/>
    <s v="Bank Transfer"/>
    <n v="513"/>
    <m/>
    <m/>
  </r>
  <r>
    <s v="O00628"/>
    <n v="46042"/>
    <s v="C005"/>
    <x v="20"/>
    <x v="2"/>
    <s v="Retail"/>
    <s v="P003"/>
    <x v="13"/>
    <s v="Accessories"/>
    <n v="1"/>
    <n v="180"/>
    <x v="5"/>
    <s v="Mobile Money"/>
    <n v="180"/>
    <m/>
    <m/>
  </r>
  <r>
    <s v="O00629"/>
    <n v="46257"/>
    <s v="C074"/>
    <x v="43"/>
    <x v="2"/>
    <s v="SME"/>
    <s v="P008"/>
    <x v="1"/>
    <s v="Computers"/>
    <n v="1"/>
    <n v="8200"/>
    <x v="1"/>
    <s v="Cash"/>
    <n v="8200"/>
    <m/>
    <m/>
  </r>
  <r>
    <s v="O00630"/>
    <n v="46028"/>
    <s v="C056"/>
    <x v="74"/>
    <x v="4"/>
    <s v="Corporate"/>
    <s v="P011"/>
    <x v="2"/>
    <s v="Storage"/>
    <n v="2"/>
    <n v="104.5"/>
    <x v="5"/>
    <s v="Mobile Money"/>
    <n v="209"/>
    <m/>
    <m/>
  </r>
  <r>
    <s v="O00631"/>
    <n v="46217"/>
    <s v="C083"/>
    <x v="6"/>
    <x v="2"/>
    <s v="SME"/>
    <s v="P003"/>
    <x v="13"/>
    <s v="Accessories"/>
    <n v="3"/>
    <n v="171"/>
    <x v="0"/>
    <s v="Mobile Money"/>
    <n v="513"/>
    <m/>
    <m/>
  </r>
  <r>
    <s v="O00632"/>
    <n v="46051"/>
    <s v="C046"/>
    <x v="16"/>
    <x v="2"/>
    <s v="Retail"/>
    <s v="P017"/>
    <x v="6"/>
    <s v="Networking"/>
    <n v="1"/>
    <n v="760"/>
    <x v="5"/>
    <s v="Mobile Money"/>
    <n v="760"/>
    <m/>
    <m/>
  </r>
  <r>
    <s v="O00633"/>
    <n v="46121"/>
    <s v="C037"/>
    <x v="76"/>
    <x v="1"/>
    <s v="SME"/>
    <s v="P015"/>
    <x v="4"/>
    <s v="Audio"/>
    <n v="2"/>
    <n v="399"/>
    <x v="1"/>
    <s v="Card"/>
    <n v="798"/>
    <m/>
    <m/>
  </r>
  <r>
    <s v="O00634"/>
    <n v="46058"/>
    <s v="C069"/>
    <x v="65"/>
    <x v="5"/>
    <s v="SME"/>
    <s v="P008"/>
    <x v="1"/>
    <s v="Computers"/>
    <n v="3"/>
    <n v="8610"/>
    <x v="2"/>
    <s v="Card"/>
    <n v="25830"/>
    <m/>
    <m/>
  </r>
  <r>
    <s v="O00635"/>
    <n v="46026"/>
    <s v="C039"/>
    <x v="85"/>
    <x v="4"/>
    <s v="SME"/>
    <s v="P012"/>
    <x v="14"/>
    <s v="Storage"/>
    <n v="2"/>
    <n v="504"/>
    <x v="3"/>
    <s v="Mobile Money"/>
    <n v="1008"/>
    <m/>
    <m/>
  </r>
  <r>
    <s v="O00636"/>
    <n v="46170"/>
    <s v="C006"/>
    <x v="98"/>
    <x v="3"/>
    <s v="Corporate"/>
    <s v="P001"/>
    <x v="11"/>
    <s v="Accessories"/>
    <n v="3"/>
    <n v="89.25"/>
    <x v="5"/>
    <s v="Mobile Money"/>
    <n v="267.75"/>
    <m/>
    <m/>
  </r>
  <r>
    <s v="O00637"/>
    <n v="46215"/>
    <s v="C040"/>
    <x v="8"/>
    <x v="3"/>
    <s v="Corporate"/>
    <s v="P007"/>
    <x v="5"/>
    <s v="Computers"/>
    <n v="3"/>
    <n v="5200"/>
    <x v="3"/>
    <s v="Cash"/>
    <n v="15600"/>
    <m/>
    <m/>
  </r>
  <r>
    <s v="O00638"/>
    <n v="46060"/>
    <s v="C116"/>
    <x v="59"/>
    <x v="3"/>
    <s v="SME"/>
    <s v="P017"/>
    <x v="6"/>
    <s v="Networking"/>
    <n v="1"/>
    <n v="760"/>
    <x v="5"/>
    <s v="Bank Transfer"/>
    <n v="760"/>
    <m/>
    <m/>
  </r>
  <r>
    <s v="O00639"/>
    <n v="46070"/>
    <s v="C025"/>
    <x v="40"/>
    <x v="0"/>
    <s v="Corporate"/>
    <s v="P004"/>
    <x v="3"/>
    <s v="Displays"/>
    <n v="3"/>
    <n v="1522.5"/>
    <x v="4"/>
    <s v="Cash"/>
    <n v="4567.5"/>
    <m/>
    <m/>
  </r>
  <r>
    <s v="O00640"/>
    <n v="46042"/>
    <s v="C083"/>
    <x v="6"/>
    <x v="2"/>
    <s v="SME"/>
    <s v="P018"/>
    <x v="0"/>
    <s v="Networking"/>
    <n v="1"/>
    <n v="90.25"/>
    <x v="2"/>
    <s v="Mobile Money"/>
    <n v="90.25"/>
    <m/>
    <m/>
  </r>
  <r>
    <s v="O00641"/>
    <n v="46108"/>
    <s v="C026"/>
    <x v="32"/>
    <x v="1"/>
    <s v="SME"/>
    <s v="P016"/>
    <x v="15"/>
    <s v="Networking"/>
    <n v="2"/>
    <n v="590"/>
    <x v="4"/>
    <s v="Bank Transfer"/>
    <n v="1180"/>
    <m/>
    <m/>
  </r>
  <r>
    <s v="O00642"/>
    <n v="46254"/>
    <s v="C080"/>
    <x v="99"/>
    <x v="3"/>
    <s v="SME"/>
    <s v="P003"/>
    <x v="13"/>
    <s v="Accessories"/>
    <n v="1"/>
    <n v="180"/>
    <x v="1"/>
    <s v="Bank Transfer"/>
    <n v="180"/>
    <m/>
    <m/>
  </r>
  <r>
    <s v="O00644"/>
    <n v="46133"/>
    <s v="C104"/>
    <x v="80"/>
    <x v="4"/>
    <s v="SME"/>
    <s v="P011"/>
    <x v="2"/>
    <s v="Storage"/>
    <n v="1"/>
    <n v="110"/>
    <x v="3"/>
    <s v="Card"/>
    <n v="110"/>
    <m/>
    <m/>
  </r>
  <r>
    <s v="O00645"/>
    <n v="46094"/>
    <s v="C092"/>
    <x v="78"/>
    <x v="5"/>
    <s v="Corporate"/>
    <s v="P014"/>
    <x v="8"/>
    <s v="Audio"/>
    <n v="5"/>
    <n v="650"/>
    <x v="0"/>
    <s v="Bank Transfer"/>
    <n v="3250"/>
    <m/>
    <m/>
  </r>
  <r>
    <s v="O00646"/>
    <n v="46142"/>
    <s v="C113"/>
    <x v="0"/>
    <x v="1"/>
    <s v="SME"/>
    <s v="P016"/>
    <x v="15"/>
    <s v="Networking"/>
    <n v="2"/>
    <n v="590"/>
    <x v="1"/>
    <s v="Mobile Money"/>
    <n v="1180"/>
    <m/>
    <m/>
  </r>
  <r>
    <s v="O00647"/>
    <n v="46239"/>
    <s v="C023"/>
    <x v="2"/>
    <x v="1"/>
    <s v="Retail"/>
    <s v="P003"/>
    <x v="13"/>
    <s v="Accessories"/>
    <n v="1"/>
    <n v="180"/>
    <x v="5"/>
    <s v="Card"/>
    <n v="180"/>
    <m/>
    <m/>
  </r>
  <r>
    <s v="O00648"/>
    <n v="46210"/>
    <s v="C034"/>
    <x v="45"/>
    <x v="0"/>
    <s v="Retail"/>
    <s v="P003"/>
    <x v="13"/>
    <s v="Accessories"/>
    <n v="1"/>
    <n v="171"/>
    <x v="5"/>
    <s v="Mobile Money"/>
    <n v="171"/>
    <m/>
    <m/>
  </r>
  <r>
    <s v="O00649"/>
    <n v="46220"/>
    <s v="C105"/>
    <x v="4"/>
    <x v="2"/>
    <s v="SME"/>
    <s v="P013"/>
    <x v="9"/>
    <s v="Accessories"/>
    <n v="3"/>
    <n v="304"/>
    <x v="5"/>
    <s v="Bank Transfer"/>
    <n v="912"/>
    <m/>
    <m/>
  </r>
  <r>
    <s v="O00650"/>
    <n v="46144"/>
    <s v="C070"/>
    <x v="69"/>
    <x v="1"/>
    <s v="Corporate"/>
    <s v="P018"/>
    <x v="0"/>
    <s v="Networking"/>
    <n v="3"/>
    <n v="95"/>
    <x v="2"/>
    <s v="Cash"/>
    <n v="285"/>
    <m/>
    <m/>
  </r>
  <r>
    <s v="O00651"/>
    <n v="46058"/>
    <s v="C029"/>
    <x v="31"/>
    <x v="1"/>
    <s v="SME"/>
    <s v="P010"/>
    <x v="17"/>
    <s v="Storage"/>
    <n v="2"/>
    <n v="756"/>
    <x v="4"/>
    <s v="Cash"/>
    <n v="1512"/>
    <m/>
    <m/>
  </r>
  <r>
    <s v="O00652"/>
    <n v="46026"/>
    <s v="C047"/>
    <x v="10"/>
    <x v="2"/>
    <s v="Corporate"/>
    <s v="P017"/>
    <x v="6"/>
    <s v="Networking"/>
    <n v="3"/>
    <n v="798"/>
    <x v="0"/>
    <s v="Card"/>
    <n v="2394"/>
    <m/>
    <m/>
  </r>
  <r>
    <s v="O00653"/>
    <n v="46059"/>
    <s v="C097"/>
    <x v="37"/>
    <x v="3"/>
    <s v="Retail"/>
    <s v="P017"/>
    <x v="6"/>
    <s v="Networking"/>
    <n v="2"/>
    <n v="760"/>
    <x v="5"/>
    <s v="Card"/>
    <n v="1520"/>
    <m/>
    <m/>
  </r>
  <r>
    <s v="O00654"/>
    <n v="46115"/>
    <s v="C095"/>
    <x v="77"/>
    <x v="0"/>
    <s v="SME"/>
    <s v="P016"/>
    <x v="15"/>
    <s v="Networking"/>
    <n v="1"/>
    <n v="590"/>
    <x v="3"/>
    <s v="Mobile Money"/>
    <n v="590"/>
    <m/>
    <m/>
  </r>
  <r>
    <s v="O00655"/>
    <n v="46083"/>
    <s v="C034"/>
    <x v="45"/>
    <x v="0"/>
    <s v="Retail"/>
    <s v="P012"/>
    <x v="14"/>
    <s v="Storage"/>
    <n v="1"/>
    <n v="480"/>
    <x v="5"/>
    <s v="Bank Transfer"/>
    <n v="480"/>
    <m/>
    <m/>
  </r>
  <r>
    <s v="O00656"/>
    <n v="46258"/>
    <s v="C050"/>
    <x v="9"/>
    <x v="0"/>
    <s v="Retail"/>
    <s v="P016"/>
    <x v="15"/>
    <s v="Networking"/>
    <n v="2"/>
    <n v="560.5"/>
    <x v="4"/>
    <s v="Bank Transfer"/>
    <n v="1121"/>
    <m/>
    <m/>
  </r>
  <r>
    <s v="O00657"/>
    <n v="46186"/>
    <s v="C014"/>
    <x v="93"/>
    <x v="3"/>
    <s v="SME"/>
    <s v="P017"/>
    <x v="6"/>
    <s v="Networking"/>
    <n v="4"/>
    <n v="760"/>
    <x v="5"/>
    <s v="Card"/>
    <n v="3040"/>
    <m/>
    <m/>
  </r>
  <r>
    <s v="O00658"/>
    <n v="46117"/>
    <s v="C049"/>
    <x v="60"/>
    <x v="3"/>
    <s v="Retail"/>
    <s v="P013"/>
    <x v="9"/>
    <s v="Accessories"/>
    <n v="2"/>
    <n v="304"/>
    <x v="5"/>
    <s v="Bank Transfer"/>
    <n v="608"/>
    <m/>
    <m/>
  </r>
  <r>
    <s v="O00659"/>
    <n v="46156"/>
    <s v="C049"/>
    <x v="60"/>
    <x v="3"/>
    <s v="Retail"/>
    <s v="P008"/>
    <x v="1"/>
    <s v="Computers"/>
    <n v="2"/>
    <n v="8200"/>
    <x v="1"/>
    <s v="Cash"/>
    <n v="16400"/>
    <m/>
    <m/>
  </r>
  <r>
    <s v="O00660"/>
    <n v="46152"/>
    <s v="C114"/>
    <x v="17"/>
    <x v="5"/>
    <s v="Corporate"/>
    <s v="P001"/>
    <x v="11"/>
    <s v="Accessories"/>
    <n v="5"/>
    <n v="85"/>
    <x v="3"/>
    <s v="Card"/>
    <n v="425"/>
    <m/>
    <m/>
  </r>
  <r>
    <s v="O00661"/>
    <n v="46188"/>
    <s v="C010"/>
    <x v="47"/>
    <x v="0"/>
    <s v="Retail"/>
    <s v="P017"/>
    <x v="6"/>
    <s v="Networking"/>
    <n v="1"/>
    <n v="760"/>
    <x v="3"/>
    <s v="Card"/>
    <n v="760"/>
    <m/>
    <m/>
  </r>
  <r>
    <s v="O00662"/>
    <n v="46193"/>
    <s v="C047"/>
    <x v="10"/>
    <x v="2"/>
    <s v="Corporate"/>
    <s v="P004"/>
    <x v="3"/>
    <s v="Displays"/>
    <n v="1"/>
    <n v="1450"/>
    <x v="0"/>
    <s v="Mobile Money"/>
    <n v="1450"/>
    <m/>
    <m/>
  </r>
  <r>
    <s v="O00663"/>
    <n v="46146"/>
    <s v="C062"/>
    <x v="13"/>
    <x v="1"/>
    <s v="Retail"/>
    <s v="P016"/>
    <x v="15"/>
    <s v="Networking"/>
    <n v="1"/>
    <n v="590"/>
    <x v="0"/>
    <s v="Cash"/>
    <n v="590"/>
    <m/>
    <m/>
  </r>
  <r>
    <s v="O00664"/>
    <n v="46035"/>
    <s v="C003"/>
    <x v="23"/>
    <x v="1"/>
    <s v="Corporate"/>
    <s v="P008"/>
    <x v="1"/>
    <s v="Computers"/>
    <n v="1"/>
    <n v="8610"/>
    <x v="3"/>
    <s v="Card"/>
    <n v="8610"/>
    <m/>
    <m/>
  </r>
  <r>
    <s v="O00665"/>
    <n v="46034"/>
    <s v="C081"/>
    <x v="56"/>
    <x v="5"/>
    <s v="SME"/>
    <s v="P017"/>
    <x v="6"/>
    <s v="Networking"/>
    <n v="5"/>
    <n v="760"/>
    <x v="4"/>
    <s v="Card"/>
    <n v="3800"/>
    <m/>
    <m/>
  </r>
  <r>
    <s v="O00666"/>
    <n v="46156"/>
    <s v="C034"/>
    <x v="45"/>
    <x v="0"/>
    <s v="Retail"/>
    <s v="P006"/>
    <x v="10"/>
    <s v="Accessories"/>
    <n v="8"/>
    <n v="168"/>
    <x v="5"/>
    <s v="Mobile Money"/>
    <n v="1344"/>
    <m/>
    <m/>
  </r>
  <r>
    <s v="O00667"/>
    <n v="46045"/>
    <s v="C113"/>
    <x v="0"/>
    <x v="1"/>
    <s v="SME"/>
    <s v="P010"/>
    <x v="17"/>
    <s v="Storage"/>
    <n v="1"/>
    <n v="756"/>
    <x v="1"/>
    <s v="Cash"/>
    <n v="756"/>
    <m/>
    <m/>
  </r>
  <r>
    <s v="O00668"/>
    <n v="46236"/>
    <s v="C022"/>
    <x v="30"/>
    <x v="1"/>
    <s v="Corporate"/>
    <s v="P008"/>
    <x v="1"/>
    <s v="Computers"/>
    <n v="2"/>
    <n v="8200"/>
    <x v="5"/>
    <s v="Card"/>
    <n v="16400"/>
    <m/>
    <m/>
  </r>
  <r>
    <s v="O00669"/>
    <n v="46091"/>
    <s v="C080"/>
    <x v="99"/>
    <x v="3"/>
    <s v="SME"/>
    <s v="P017"/>
    <x v="6"/>
    <s v="Networking"/>
    <n v="1"/>
    <n v="760"/>
    <x v="1"/>
    <s v="Mobile Money"/>
    <n v="760"/>
    <m/>
    <m/>
  </r>
  <r>
    <s v="O00670"/>
    <n v="46122"/>
    <s v="C030"/>
    <x v="35"/>
    <x v="5"/>
    <s v="SME"/>
    <s v="P013"/>
    <x v="9"/>
    <s v="Accessories"/>
    <n v="1"/>
    <n v="304"/>
    <x v="3"/>
    <s v="Cash"/>
    <n v="304"/>
    <m/>
    <m/>
  </r>
  <r>
    <s v="O00671"/>
    <n v="46179"/>
    <s v="C106"/>
    <x v="4"/>
    <x v="3"/>
    <s v="Corporate"/>
    <s v="P005"/>
    <x v="16"/>
    <s v="Displays"/>
    <n v="1"/>
    <n v="2200"/>
    <x v="5"/>
    <s v="Mobile Money"/>
    <n v="2200"/>
    <m/>
    <m/>
  </r>
  <r>
    <s v="O00672"/>
    <n v="46152"/>
    <s v="C113"/>
    <x v="0"/>
    <x v="1"/>
    <s v="SME"/>
    <s v="P018"/>
    <x v="0"/>
    <s v="Networking"/>
    <n v="4"/>
    <n v="90.25"/>
    <x v="1"/>
    <s v="Card"/>
    <n v="361"/>
    <m/>
    <m/>
  </r>
  <r>
    <s v="O00673"/>
    <n v="46235"/>
    <s v="C116"/>
    <x v="59"/>
    <x v="3"/>
    <s v="SME"/>
    <s v="P018"/>
    <x v="0"/>
    <s v="Networking"/>
    <n v="1"/>
    <n v="95"/>
    <x v="5"/>
    <s v="Cash"/>
    <n v="95"/>
    <m/>
    <m/>
  </r>
  <r>
    <s v="O00674"/>
    <n v="46202"/>
    <s v="C048"/>
    <x v="67"/>
    <x v="3"/>
    <s v="Corporate"/>
    <s v="P002"/>
    <x v="12"/>
    <s v="Accessories"/>
    <n v="2"/>
    <n v="240"/>
    <x v="1"/>
    <s v="Cash"/>
    <n v="480"/>
    <m/>
    <m/>
  </r>
  <r>
    <s v="O00675"/>
    <n v="46132"/>
    <s v="C045"/>
    <x v="84"/>
    <x v="1"/>
    <s v="SME"/>
    <s v="P004"/>
    <x v="3"/>
    <s v="Displays"/>
    <n v="1"/>
    <n v="1450"/>
    <x v="3"/>
    <s v="Mobile Money"/>
    <n v="1450"/>
    <m/>
    <m/>
  </r>
  <r>
    <s v="O00676"/>
    <n v="46128"/>
    <s v="C037"/>
    <x v="76"/>
    <x v="1"/>
    <s v="SME"/>
    <s v="P018"/>
    <x v="0"/>
    <s v="Networking"/>
    <n v="1"/>
    <n v="90.25"/>
    <x v="0"/>
    <s v="Mobile Money"/>
    <n v="90.25"/>
    <m/>
    <m/>
  </r>
  <r>
    <s v="O00677"/>
    <n v="46054"/>
    <s v="C074"/>
    <x v="43"/>
    <x v="2"/>
    <s v="SME"/>
    <s v="P017"/>
    <x v="6"/>
    <s v="Networking"/>
    <n v="2"/>
    <n v="760"/>
    <x v="0"/>
    <s v="Card"/>
    <n v="1520"/>
    <m/>
    <m/>
  </r>
  <r>
    <s v="O00678"/>
    <n v="46128"/>
    <s v="C089"/>
    <x v="2"/>
    <x v="3"/>
    <s v="Corporate"/>
    <s v="P011"/>
    <x v="2"/>
    <s v="Storage"/>
    <n v="2"/>
    <n v="110"/>
    <x v="1"/>
    <s v="Bank Transfer"/>
    <n v="220"/>
    <m/>
    <m/>
  </r>
  <r>
    <s v="O00679"/>
    <n v="46132"/>
    <s v="C034"/>
    <x v="45"/>
    <x v="0"/>
    <s v="Retail"/>
    <s v="P018"/>
    <x v="0"/>
    <s v="Networking"/>
    <n v="2"/>
    <n v="99.75"/>
    <x v="2"/>
    <s v="Cash"/>
    <n v="199.5"/>
    <m/>
    <m/>
  </r>
  <r>
    <s v="O00680"/>
    <n v="46129"/>
    <s v="C097"/>
    <x v="37"/>
    <x v="3"/>
    <s v="Retail"/>
    <s v="P007"/>
    <x v="5"/>
    <s v="Computers"/>
    <n v="2"/>
    <n v="5460"/>
    <x v="1"/>
    <s v="Card"/>
    <n v="10920"/>
    <m/>
    <m/>
  </r>
  <r>
    <s v="O00681"/>
    <n v="46166"/>
    <s v="C048"/>
    <x v="67"/>
    <x v="3"/>
    <s v="Corporate"/>
    <s v="P018"/>
    <x v="0"/>
    <s v="Networking"/>
    <n v="2"/>
    <n v="95"/>
    <x v="5"/>
    <s v="Bank Transfer"/>
    <n v="190"/>
    <m/>
    <m/>
  </r>
  <r>
    <s v="O00682"/>
    <n v="46212"/>
    <s v="C100"/>
    <x v="0"/>
    <x v="0"/>
    <s v="Retail"/>
    <s v="P013"/>
    <x v="9"/>
    <s v="Accessories"/>
    <n v="1"/>
    <n v="304"/>
    <x v="0"/>
    <s v="Card"/>
    <n v="304"/>
    <m/>
    <m/>
  </r>
  <r>
    <s v="O00683"/>
    <n v="46049"/>
    <s v="C058"/>
    <x v="72"/>
    <x v="4"/>
    <s v="SME"/>
    <s v="P006"/>
    <x v="10"/>
    <s v="Accessories"/>
    <n v="1"/>
    <n v="160"/>
    <x v="2"/>
    <s v="Mobile Money"/>
    <n v="160"/>
    <m/>
    <m/>
  </r>
  <r>
    <s v="O00684"/>
    <n v="46186"/>
    <s v="C021"/>
    <x v="82"/>
    <x v="0"/>
    <s v="Retail"/>
    <s v="P013"/>
    <x v="9"/>
    <s v="Accessories"/>
    <n v="1"/>
    <n v="304"/>
    <x v="3"/>
    <s v="Cash"/>
    <n v="304"/>
    <m/>
    <m/>
  </r>
  <r>
    <s v="O00685"/>
    <n v="46046"/>
    <s v="C119"/>
    <x v="1"/>
    <x v="0"/>
    <s v="Retail"/>
    <s v="P014"/>
    <x v="8"/>
    <s v="Audio"/>
    <n v="1"/>
    <n v="650"/>
    <x v="2"/>
    <s v="Mobile Money"/>
    <n v="650"/>
    <m/>
    <m/>
  </r>
  <r>
    <s v="O00686"/>
    <n v="46209"/>
    <s v="C078"/>
    <x v="49"/>
    <x v="5"/>
    <s v="SME"/>
    <s v="P002"/>
    <x v="12"/>
    <s v="Accessories"/>
    <n v="2"/>
    <n v="240"/>
    <x v="5"/>
    <s v="Bank Transfer"/>
    <n v="480"/>
    <m/>
    <m/>
  </r>
  <r>
    <s v="O00687"/>
    <n v="46222"/>
    <s v="C092"/>
    <x v="78"/>
    <x v="5"/>
    <s v="Corporate"/>
    <s v="P002"/>
    <x v="12"/>
    <s v="Accessories"/>
    <n v="4"/>
    <n v="240"/>
    <x v="1"/>
    <s v="Mobile Money"/>
    <n v="960"/>
    <m/>
    <m/>
  </r>
  <r>
    <s v="O00688"/>
    <n v="46097"/>
    <s v="C026"/>
    <x v="32"/>
    <x v="1"/>
    <s v="SME"/>
    <s v="P017"/>
    <x v="6"/>
    <s v="Networking"/>
    <n v="1"/>
    <n v="798"/>
    <x v="5"/>
    <s v="Card"/>
    <n v="798"/>
    <m/>
    <m/>
  </r>
  <r>
    <s v="O00689"/>
    <n v="46196"/>
    <s v="C079"/>
    <x v="36"/>
    <x v="5"/>
    <s v="Retail"/>
    <s v="P006"/>
    <x v="10"/>
    <s v="Accessories"/>
    <n v="1"/>
    <n v="160"/>
    <x v="0"/>
    <s v="Mobile Money"/>
    <n v="160"/>
    <m/>
    <m/>
  </r>
  <r>
    <s v="O00690"/>
    <n v="46094"/>
    <s v="C021"/>
    <x v="100"/>
    <x v="0"/>
    <s v="Retail"/>
    <s v="P003"/>
    <x v="13"/>
    <s v="Accessories"/>
    <n v="4"/>
    <n v="180"/>
    <x v="0"/>
    <s v="Cash"/>
    <n v="720"/>
    <m/>
    <m/>
  </r>
  <r>
    <s v="O00691"/>
    <n v="46156"/>
    <s v="C052"/>
    <x v="13"/>
    <x v="5"/>
    <s v="Retail"/>
    <s v="P007"/>
    <x v="5"/>
    <s v="Computers"/>
    <n v="1"/>
    <n v="4940"/>
    <x v="4"/>
    <s v="Bank Transfer"/>
    <n v="4940"/>
    <m/>
    <m/>
  </r>
  <r>
    <s v="O00692"/>
    <n v="46258"/>
    <s v="C093"/>
    <x v="38"/>
    <x v="4"/>
    <s v="SME"/>
    <s v="P018"/>
    <x v="0"/>
    <s v="Networking"/>
    <n v="2"/>
    <n v="95"/>
    <x v="2"/>
    <s v="Card"/>
    <n v="190"/>
    <m/>
    <m/>
  </r>
  <r>
    <s v="O00693"/>
    <n v="46140"/>
    <s v="C078"/>
    <x v="49"/>
    <x v="5"/>
    <s v="SME"/>
    <s v="P007"/>
    <x v="5"/>
    <s v="Computers"/>
    <n v="6"/>
    <n v="5460"/>
    <x v="4"/>
    <s v="Bank Transfer"/>
    <n v="32760"/>
    <m/>
    <m/>
  </r>
  <r>
    <s v="O00694"/>
    <n v="46153"/>
    <s v="C023"/>
    <x v="2"/>
    <x v="1"/>
    <s v="Retail"/>
    <s v="P014"/>
    <x v="8"/>
    <s v="Audio"/>
    <n v="1"/>
    <n v="617.5"/>
    <x v="5"/>
    <s v="Bank Transfer"/>
    <n v="617.5"/>
    <m/>
    <m/>
  </r>
  <r>
    <s v="O00695"/>
    <n v="46229"/>
    <s v="C044"/>
    <x v="101"/>
    <x v="2"/>
    <s v="Corporate"/>
    <s v="P004"/>
    <x v="3"/>
    <s v="Displays"/>
    <n v="2"/>
    <n v="1450"/>
    <x v="5"/>
    <s v="Bank Transfer"/>
    <n v="2900"/>
    <m/>
    <m/>
  </r>
  <r>
    <s v="O00696"/>
    <n v="46120"/>
    <s v="C089"/>
    <x v="2"/>
    <x v="3"/>
    <s v="Corporate"/>
    <s v="P015"/>
    <x v="4"/>
    <s v="Audio"/>
    <n v="2"/>
    <n v="420"/>
    <x v="2"/>
    <s v="Cash"/>
    <n v="840"/>
    <m/>
    <m/>
  </r>
  <r>
    <s v="O00697"/>
    <n v="46253"/>
    <s v="C088"/>
    <x v="75"/>
    <x v="3"/>
    <s v="Retail"/>
    <s v="P015"/>
    <x v="4"/>
    <s v="Audio"/>
    <n v="2"/>
    <n v="399"/>
    <x v="1"/>
    <s v="Mobile Money"/>
    <n v="798"/>
    <m/>
    <m/>
  </r>
  <r>
    <s v="O00698"/>
    <n v="46121"/>
    <s v="C034"/>
    <x v="45"/>
    <x v="0"/>
    <s v="Retail"/>
    <s v="P003"/>
    <x v="13"/>
    <s v="Accessories"/>
    <n v="3"/>
    <n v="180"/>
    <x v="0"/>
    <s v="Card"/>
    <n v="540"/>
    <m/>
    <m/>
  </r>
  <r>
    <s v="O00699"/>
    <n v="46129"/>
    <s v="C103"/>
    <x v="64"/>
    <x v="1"/>
    <s v="Corporate"/>
    <s v="P011"/>
    <x v="2"/>
    <s v="Storage"/>
    <n v="8"/>
    <n v="110"/>
    <x v="5"/>
    <s v="Mobile Money"/>
    <n v="880"/>
    <m/>
    <m/>
  </r>
  <r>
    <s v="O00700"/>
    <n v="46087"/>
    <s v="C090"/>
    <x v="42"/>
    <x v="3"/>
    <s v="Corporate"/>
    <s v="P009"/>
    <x v="7"/>
    <s v="Computers"/>
    <n v="1"/>
    <n v="3100"/>
    <x v="0"/>
    <s v="Bank Transfer"/>
    <n v="3100"/>
    <m/>
    <m/>
  </r>
  <r>
    <s v="O00701"/>
    <n v="46069"/>
    <s v="C010"/>
    <x v="47"/>
    <x v="0"/>
    <s v="Retail"/>
    <s v="P018"/>
    <x v="0"/>
    <s v="Networking"/>
    <n v="2"/>
    <n v="95"/>
    <x v="3"/>
    <s v="Bank Transfer"/>
    <n v="190"/>
    <m/>
    <m/>
  </r>
  <r>
    <s v="O00702"/>
    <n v="46151"/>
    <s v="C024"/>
    <x v="17"/>
    <x v="2"/>
    <s v="Retail"/>
    <s v="P007"/>
    <x v="5"/>
    <s v="Computers"/>
    <n v="3"/>
    <n v="5200"/>
    <x v="0"/>
    <s v="Card"/>
    <n v="15600"/>
    <m/>
    <m/>
  </r>
  <r>
    <s v="O00703"/>
    <n v="46076"/>
    <s v="C112"/>
    <x v="12"/>
    <x v="0"/>
    <s v="Retail"/>
    <s v="P009"/>
    <x v="7"/>
    <s v="Computers"/>
    <n v="1"/>
    <n v="3100"/>
    <x v="5"/>
    <s v="Bank Transfer"/>
    <n v="3100"/>
    <m/>
    <m/>
  </r>
  <r>
    <s v="O00704"/>
    <n v="46054"/>
    <s v="C020"/>
    <x v="81"/>
    <x v="1"/>
    <s v="SME"/>
    <s v="P004"/>
    <x v="3"/>
    <s v="Displays"/>
    <n v="6"/>
    <n v="1450"/>
    <x v="5"/>
    <s v="Mobile Money"/>
    <n v="8700"/>
    <m/>
    <m/>
  </r>
  <r>
    <s v="O00705"/>
    <n v="46034"/>
    <s v="C098"/>
    <x v="50"/>
    <x v="4"/>
    <s v="Retail"/>
    <s v="P018"/>
    <x v="0"/>
    <s v="Networking"/>
    <n v="5"/>
    <n v="95"/>
    <x v="5"/>
    <s v="Bank Transfer"/>
    <n v="475"/>
    <m/>
    <m/>
  </r>
  <r>
    <s v="O00706"/>
    <n v="46149"/>
    <s v="C064"/>
    <x v="7"/>
    <x v="2"/>
    <s v="SME"/>
    <s v="P009"/>
    <x v="7"/>
    <s v="Computers"/>
    <n v="1"/>
    <n v="3255"/>
    <x v="2"/>
    <s v="Cash"/>
    <n v="3255"/>
    <m/>
    <m/>
  </r>
  <r>
    <s v="O00707"/>
    <n v="46037"/>
    <s v="C029"/>
    <x v="31"/>
    <x v="1"/>
    <s v="SME"/>
    <s v="P005"/>
    <x v="16"/>
    <s v="Displays"/>
    <n v="2"/>
    <n v="2200"/>
    <x v="1"/>
    <s v="Mobile Money"/>
    <n v="4400"/>
    <m/>
    <m/>
  </r>
  <r>
    <s v="O00708"/>
    <n v="46124"/>
    <s v="C065"/>
    <x v="36"/>
    <x v="4"/>
    <s v="Retail"/>
    <s v="P012"/>
    <x v="14"/>
    <s v="Storage"/>
    <n v="5"/>
    <n v="480"/>
    <x v="1"/>
    <s v="Mobile Money"/>
    <n v="2400"/>
    <m/>
    <m/>
  </r>
  <r>
    <s v="O00709"/>
    <n v="46141"/>
    <s v="C090"/>
    <x v="42"/>
    <x v="3"/>
    <s v="Corporate"/>
    <s v="P017"/>
    <x v="6"/>
    <s v="Networking"/>
    <n v="1"/>
    <n v="722"/>
    <x v="4"/>
    <s v="Card"/>
    <n v="722"/>
    <m/>
    <m/>
  </r>
  <r>
    <s v="O00710"/>
    <n v="46107"/>
    <s v="C049"/>
    <x v="102"/>
    <x v="3"/>
    <s v="Retail"/>
    <s v="P004"/>
    <x v="3"/>
    <s v="Displays"/>
    <n v="2"/>
    <n v="1450"/>
    <x v="3"/>
    <s v="Bank Transfer"/>
    <n v="2900"/>
    <m/>
    <m/>
  </r>
  <r>
    <s v="O00711"/>
    <n v="46144"/>
    <s v="C031"/>
    <x v="79"/>
    <x v="0"/>
    <s v="Retail"/>
    <s v="P009"/>
    <x v="7"/>
    <s v="Computers"/>
    <n v="8"/>
    <n v="3100"/>
    <x v="2"/>
    <s v="Card"/>
    <n v="24800"/>
    <m/>
    <m/>
  </r>
  <r>
    <s v="O00712"/>
    <n v="46077"/>
    <s v="C064"/>
    <x v="7"/>
    <x v="2"/>
    <s v="SME"/>
    <s v="P014"/>
    <x v="8"/>
    <s v="Audio"/>
    <n v="2"/>
    <n v="650"/>
    <x v="2"/>
    <s v="Cash"/>
    <n v="1300"/>
    <m/>
    <m/>
  </r>
  <r>
    <s v="O00713"/>
    <n v="46070"/>
    <s v="C036"/>
    <x v="22"/>
    <x v="3"/>
    <s v="Retail"/>
    <s v="P015"/>
    <x v="4"/>
    <s v="Audio"/>
    <n v="2"/>
    <n v="441"/>
    <x v="0"/>
    <s v="Card"/>
    <n v="882"/>
    <m/>
    <m/>
  </r>
  <r>
    <s v="O00714"/>
    <n v="46208"/>
    <s v="C105"/>
    <x v="4"/>
    <x v="2"/>
    <s v="Unknown"/>
    <s v="P004"/>
    <x v="3"/>
    <s v="Displays"/>
    <n v="1"/>
    <n v="1450"/>
    <x v="5"/>
    <s v="Cash"/>
    <n v="1450"/>
    <m/>
    <m/>
  </r>
  <r>
    <s v="O00715"/>
    <n v="46074"/>
    <s v="C110"/>
    <x v="26"/>
    <x v="0"/>
    <s v="Retail"/>
    <s v="P013"/>
    <x v="9"/>
    <s v="Accessories"/>
    <n v="1"/>
    <n v="320"/>
    <x v="1"/>
    <s v="Mobile Money"/>
    <n v="320"/>
    <m/>
    <m/>
  </r>
  <r>
    <s v="O00716"/>
    <n v="46151"/>
    <s v="C023"/>
    <x v="2"/>
    <x v="1"/>
    <s v="Retail"/>
    <s v="P014"/>
    <x v="8"/>
    <s v="Audio"/>
    <n v="1"/>
    <n v="682.5"/>
    <x v="5"/>
    <s v="Bank Transfer"/>
    <n v="682.5"/>
    <m/>
    <m/>
  </r>
  <r>
    <s v="O00717"/>
    <n v="46100"/>
    <s v="C101"/>
    <x v="3"/>
    <x v="0"/>
    <s v="Retail"/>
    <s v="P016"/>
    <x v="15"/>
    <s v="Networking"/>
    <n v="1"/>
    <n v="619.5"/>
    <x v="4"/>
    <s v="Cash"/>
    <n v="619.5"/>
    <m/>
    <m/>
  </r>
  <r>
    <s v="O00718"/>
    <n v="46039"/>
    <s v="C013"/>
    <x v="41"/>
    <x v="0"/>
    <s v="Retail"/>
    <s v="P006"/>
    <x v="10"/>
    <s v="Accessories"/>
    <n v="1"/>
    <n v="160"/>
    <x v="1"/>
    <s v="Mobile Money"/>
    <n v="160"/>
    <m/>
    <m/>
  </r>
  <r>
    <s v="O00719"/>
    <n v="46090"/>
    <s v="C058"/>
    <x v="72"/>
    <x v="4"/>
    <s v="SME"/>
    <s v="P011"/>
    <x v="2"/>
    <s v="Storage"/>
    <n v="2"/>
    <n v="115.5"/>
    <x v="5"/>
    <s v="Bank Transfer"/>
    <n v="231"/>
    <m/>
    <m/>
  </r>
  <r>
    <s v="O00720"/>
    <n v="46129"/>
    <s v="C045"/>
    <x v="84"/>
    <x v="1"/>
    <s v="SME"/>
    <s v="P001"/>
    <x v="11"/>
    <s v="Accessories"/>
    <n v="1"/>
    <n v="89.25"/>
    <x v="3"/>
    <s v="Card"/>
    <n v="89.25"/>
    <m/>
    <m/>
  </r>
  <r>
    <s v="O00721"/>
    <n v="46114"/>
    <s v="C100"/>
    <x v="0"/>
    <x v="0"/>
    <s v="Retail"/>
    <s v="P010"/>
    <x v="17"/>
    <s v="Storage"/>
    <n v="1"/>
    <n v="756"/>
    <x v="1"/>
    <s v="Cash"/>
    <n v="756"/>
    <m/>
    <m/>
  </r>
  <r>
    <s v="O00722"/>
    <n v="46121"/>
    <s v="C114"/>
    <x v="17"/>
    <x v="5"/>
    <s v="Corporate"/>
    <s v="P003"/>
    <x v="13"/>
    <s v="Accessories"/>
    <n v="3"/>
    <n v="180"/>
    <x v="0"/>
    <s v="Card"/>
    <n v="540"/>
    <m/>
    <m/>
  </r>
  <r>
    <s v="O00723"/>
    <n v="46187"/>
    <s v="C112"/>
    <x v="12"/>
    <x v="0"/>
    <s v="Retail"/>
    <s v="P006"/>
    <x v="10"/>
    <s v="Accessories"/>
    <n v="4"/>
    <n v="160"/>
    <x v="1"/>
    <s v="Cash"/>
    <n v="640"/>
    <m/>
    <m/>
  </r>
  <r>
    <s v="O00724"/>
    <n v="46044"/>
    <s v="C109"/>
    <x v="35"/>
    <x v="1"/>
    <s v="SME"/>
    <s v="P003"/>
    <x v="13"/>
    <s v="Accessories"/>
    <n v="1"/>
    <n v="180"/>
    <x v="2"/>
    <s v="Bank Transfer"/>
    <n v="180"/>
    <m/>
    <m/>
  </r>
  <r>
    <s v="O00725"/>
    <n v="46205"/>
    <s v="C084"/>
    <x v="66"/>
    <x v="4"/>
    <s v="Corporate"/>
    <s v="P010"/>
    <x v="17"/>
    <s v="Storage"/>
    <n v="1"/>
    <n v="720"/>
    <x v="2"/>
    <s v="Cash"/>
    <n v="720"/>
    <m/>
    <m/>
  </r>
  <r>
    <s v="O00726"/>
    <n v="46215"/>
    <s v="C100"/>
    <x v="0"/>
    <x v="0"/>
    <s v="Retail"/>
    <s v="P012"/>
    <x v="14"/>
    <s v="Storage"/>
    <n v="2"/>
    <n v="480"/>
    <x v="1"/>
    <s v="Card"/>
    <n v="960"/>
    <m/>
    <m/>
  </r>
  <r>
    <s v="O00727"/>
    <n v="46056"/>
    <s v="C024"/>
    <x v="103"/>
    <x v="2"/>
    <s v="Retail"/>
    <s v="P001"/>
    <x v="11"/>
    <s v="Accessories"/>
    <n v="3"/>
    <n v="85"/>
    <x v="0"/>
    <s v="Mobile Money"/>
    <n v="255"/>
    <m/>
    <m/>
  </r>
  <r>
    <s v="O00728"/>
    <n v="46125"/>
    <s v="C027"/>
    <x v="34"/>
    <x v="3"/>
    <s v="SME"/>
    <s v="P006"/>
    <x v="10"/>
    <s v="Accessories"/>
    <n v="1"/>
    <n v="152"/>
    <x v="1"/>
    <s v="Mobile Money"/>
    <n v="152"/>
    <m/>
    <m/>
  </r>
  <r>
    <s v="O00729"/>
    <n v="46158"/>
    <s v="C004"/>
    <x v="2"/>
    <x v="5"/>
    <s v="Retail"/>
    <s v="P013"/>
    <x v="9"/>
    <s v="Accessories"/>
    <n v="4"/>
    <n v="304"/>
    <x v="4"/>
    <s v="Bank Transfer"/>
    <n v="1216"/>
    <m/>
    <m/>
  </r>
  <r>
    <s v="O00730"/>
    <n v="46045"/>
    <s v="C080"/>
    <x v="99"/>
    <x v="3"/>
    <s v="SME"/>
    <s v="P005"/>
    <x v="16"/>
    <s v="Displays"/>
    <n v="3"/>
    <n v="2200"/>
    <x v="2"/>
    <s v="Card"/>
    <n v="6600"/>
    <m/>
    <m/>
  </r>
  <r>
    <s v="O00731"/>
    <n v="46137"/>
    <s v="C032"/>
    <x v="44"/>
    <x v="4"/>
    <s v="Corporate"/>
    <s v="P010"/>
    <x v="17"/>
    <s v="Storage"/>
    <n v="3"/>
    <n v="720"/>
    <x v="5"/>
    <s v="Card"/>
    <n v="2160"/>
    <m/>
    <m/>
  </r>
  <r>
    <s v="O00732"/>
    <n v="46193"/>
    <s v="C004"/>
    <x v="2"/>
    <x v="5"/>
    <s v="Retail"/>
    <s v="P002"/>
    <x v="12"/>
    <s v="Accessories"/>
    <n v="2"/>
    <n v="240"/>
    <x v="1"/>
    <s v="Cash"/>
    <n v="480"/>
    <m/>
    <m/>
  </r>
  <r>
    <s v="O00733"/>
    <n v="46093"/>
    <s v="C112"/>
    <x v="12"/>
    <x v="0"/>
    <s v="Retail"/>
    <s v="P018"/>
    <x v="0"/>
    <s v="Networking"/>
    <n v="2"/>
    <n v="95"/>
    <x v="0"/>
    <s v="Card"/>
    <n v="190"/>
    <m/>
    <m/>
  </r>
  <r>
    <s v="O00734"/>
    <n v="46185"/>
    <s v="C076"/>
    <x v="70"/>
    <x v="3"/>
    <s v="Corporate"/>
    <s v="P015"/>
    <x v="4"/>
    <s v="Audio"/>
    <n v="3"/>
    <n v="441"/>
    <x v="1"/>
    <s v="Bank Transfer"/>
    <n v="1323"/>
    <m/>
    <m/>
  </r>
  <r>
    <s v="O00735"/>
    <n v="46147"/>
    <s v="C117"/>
    <x v="28"/>
    <x v="2"/>
    <s v="SME"/>
    <s v="P012"/>
    <x v="14"/>
    <s v="Storage"/>
    <n v="2"/>
    <n v="456"/>
    <x v="1"/>
    <s v="Bank Transfer"/>
    <n v="912"/>
    <m/>
    <m/>
  </r>
  <r>
    <s v="O00736"/>
    <n v="46090"/>
    <s v="C047"/>
    <x v="10"/>
    <x v="2"/>
    <s v="Corporate"/>
    <s v="P014"/>
    <x v="8"/>
    <s v="Audio"/>
    <n v="1"/>
    <n v="617.5"/>
    <x v="4"/>
    <s v="Card"/>
    <n v="617.5"/>
    <m/>
    <m/>
  </r>
  <r>
    <s v="O00737"/>
    <n v="46144"/>
    <s v="C045"/>
    <x v="84"/>
    <x v="1"/>
    <s v="SME"/>
    <s v="P010"/>
    <x v="17"/>
    <s v="Storage"/>
    <n v="2"/>
    <n v="720"/>
    <x v="1"/>
    <s v="Bank Transfer"/>
    <n v="1440"/>
    <m/>
    <m/>
  </r>
  <r>
    <s v="O00738"/>
    <n v="46228"/>
    <s v="C002"/>
    <x v="55"/>
    <x v="2"/>
    <s v="Corporate"/>
    <s v="P014"/>
    <x v="8"/>
    <s v="Audio"/>
    <n v="1"/>
    <n v="650"/>
    <x v="4"/>
    <s v="Bank Transfer"/>
    <n v="650"/>
    <m/>
    <m/>
  </r>
  <r>
    <s v="O00739"/>
    <n v="46249"/>
    <s v="C025"/>
    <x v="40"/>
    <x v="0"/>
    <s v="Corporate"/>
    <s v="P014"/>
    <x v="8"/>
    <s v="Audio"/>
    <n v="2"/>
    <n v="650"/>
    <x v="3"/>
    <s v="Card"/>
    <n v="1300"/>
    <m/>
    <m/>
  </r>
  <r>
    <s v="O00740"/>
    <n v="46236"/>
    <s v="C092"/>
    <x v="78"/>
    <x v="5"/>
    <s v="Corporate"/>
    <s v="P013"/>
    <x v="9"/>
    <s v="Accessories"/>
    <n v="2"/>
    <n v="320"/>
    <x v="4"/>
    <s v="Cash"/>
    <n v="640"/>
    <m/>
    <m/>
  </r>
  <r>
    <s v="O00741"/>
    <n v="46156"/>
    <s v="C081"/>
    <x v="56"/>
    <x v="5"/>
    <s v="SME"/>
    <s v="P008"/>
    <x v="1"/>
    <s v="Computers"/>
    <n v="4"/>
    <n v="8610"/>
    <x v="0"/>
    <s v="Bank Transfer"/>
    <n v="34440"/>
    <m/>
    <m/>
  </r>
  <r>
    <s v="O00742"/>
    <n v="46231"/>
    <s v="C037"/>
    <x v="76"/>
    <x v="1"/>
    <s v="SME"/>
    <s v="P018"/>
    <x v="0"/>
    <s v="Networking"/>
    <n v="1"/>
    <n v="95"/>
    <x v="4"/>
    <s v="Card"/>
    <n v="95"/>
    <m/>
    <m/>
  </r>
  <r>
    <s v="O00743"/>
    <n v="46052"/>
    <s v="C018"/>
    <x v="19"/>
    <x v="0"/>
    <s v="Retail"/>
    <s v="P010"/>
    <x v="17"/>
    <s v="Storage"/>
    <n v="3"/>
    <n v="756"/>
    <x v="1"/>
    <s v="Bank Transfer"/>
    <n v="2268"/>
    <m/>
    <m/>
  </r>
  <r>
    <s v="O00744"/>
    <n v="46072"/>
    <s v="C090"/>
    <x v="42"/>
    <x v="3"/>
    <s v="Corporate"/>
    <s v="P016"/>
    <x v="15"/>
    <s v="Networking"/>
    <n v="1"/>
    <n v="590"/>
    <x v="4"/>
    <s v="Mobile Money"/>
    <n v="590"/>
    <m/>
    <m/>
  </r>
  <r>
    <s v="O00745"/>
    <n v="46096"/>
    <s v="C024"/>
    <x v="17"/>
    <x v="2"/>
    <s v="Retail"/>
    <s v="P004"/>
    <x v="3"/>
    <s v="Displays"/>
    <n v="1"/>
    <n v="1450"/>
    <x v="0"/>
    <s v="Mobile Money"/>
    <n v="1450"/>
    <m/>
    <m/>
  </r>
  <r>
    <s v="O00746"/>
    <n v="46062"/>
    <s v="C030"/>
    <x v="35"/>
    <x v="5"/>
    <s v="SME"/>
    <s v="P003"/>
    <x v="13"/>
    <s v="Accessories"/>
    <n v="1"/>
    <n v="180"/>
    <x v="2"/>
    <s v="Cash"/>
    <n v="180"/>
    <m/>
    <m/>
  </r>
  <r>
    <s v="O00747"/>
    <n v="46119"/>
    <s v="C040"/>
    <x v="8"/>
    <x v="3"/>
    <s v="Corporate"/>
    <s v="P016"/>
    <x v="15"/>
    <s v="Networking"/>
    <n v="2"/>
    <n v="560.5"/>
    <x v="2"/>
    <s v="Mobile Money"/>
    <n v="1121"/>
    <m/>
    <m/>
  </r>
  <r>
    <s v="O00748"/>
    <n v="46038"/>
    <s v="C108"/>
    <x v="21"/>
    <x v="1"/>
    <s v="SME"/>
    <s v="P005"/>
    <x v="16"/>
    <s v="Displays"/>
    <n v="1"/>
    <n v="2200"/>
    <x v="4"/>
    <s v="Cash"/>
    <n v="2200"/>
    <m/>
    <m/>
  </r>
  <r>
    <s v="O00749"/>
    <n v="46253"/>
    <s v="C024"/>
    <x v="17"/>
    <x v="2"/>
    <s v="Retail"/>
    <s v="P007"/>
    <x v="5"/>
    <s v="Computers"/>
    <n v="5"/>
    <n v="5200"/>
    <x v="4"/>
    <s v="Mobile Money"/>
    <n v="26000"/>
    <m/>
    <m/>
  </r>
  <r>
    <s v="O00750"/>
    <n v="46122"/>
    <s v="C099"/>
    <x v="7"/>
    <x v="2"/>
    <s v="Corporate"/>
    <s v="P008"/>
    <x v="1"/>
    <s v="Computers"/>
    <n v="4"/>
    <n v="8200"/>
    <x v="3"/>
    <s v="Mobile Money"/>
    <n v="32800"/>
    <m/>
    <m/>
  </r>
  <r>
    <s v="O00751"/>
    <n v="46212"/>
    <s v="C026"/>
    <x v="32"/>
    <x v="1"/>
    <s v="SME"/>
    <s v="P015"/>
    <x v="4"/>
    <s v="Audio"/>
    <n v="4"/>
    <n v="441"/>
    <x v="0"/>
    <s v="Card"/>
    <n v="1764"/>
    <m/>
    <m/>
  </r>
  <r>
    <s v="O00752"/>
    <n v="46198"/>
    <s v="C061"/>
    <x v="24"/>
    <x v="2"/>
    <s v="Retail"/>
    <s v="P013"/>
    <x v="9"/>
    <s v="Accessories"/>
    <n v="8"/>
    <n v="320"/>
    <x v="3"/>
    <s v="Mobile Money"/>
    <n v="2560"/>
    <m/>
    <m/>
  </r>
  <r>
    <s v="O00753"/>
    <n v="46157"/>
    <s v="C096"/>
    <x v="71"/>
    <x v="1"/>
    <s v="SME"/>
    <s v="P018"/>
    <x v="0"/>
    <s v="Networking"/>
    <n v="1"/>
    <n v="95"/>
    <x v="0"/>
    <s v="Bank Transfer"/>
    <n v="95"/>
    <m/>
    <m/>
  </r>
  <r>
    <s v="O00754"/>
    <n v="46251"/>
    <s v="C026"/>
    <x v="32"/>
    <x v="1"/>
    <s v="SME"/>
    <s v="P012"/>
    <x v="14"/>
    <s v="Storage"/>
    <n v="1"/>
    <n v="480"/>
    <x v="4"/>
    <s v="Card"/>
    <n v="480"/>
    <m/>
    <m/>
  </r>
  <r>
    <s v="O00755"/>
    <n v="46107"/>
    <s v="C082"/>
    <x v="62"/>
    <x v="1"/>
    <s v="Corporate"/>
    <s v="P014"/>
    <x v="8"/>
    <s v="Audio"/>
    <n v="1"/>
    <n v="650"/>
    <x v="5"/>
    <s v="Mobile Money"/>
    <n v="650"/>
    <m/>
    <m/>
  </r>
  <r>
    <s v="O00756"/>
    <n v="46026"/>
    <s v="C051"/>
    <x v="34"/>
    <x v="4"/>
    <s v="Retail"/>
    <s v="P008"/>
    <x v="1"/>
    <s v="Computers"/>
    <n v="8"/>
    <n v="8610"/>
    <x v="0"/>
    <s v="Cash"/>
    <n v="68880"/>
    <m/>
    <m/>
  </r>
  <r>
    <s v="O00757"/>
    <n v="46119"/>
    <s v="C089"/>
    <x v="2"/>
    <x v="3"/>
    <s v="Corporate"/>
    <s v="P005"/>
    <x v="16"/>
    <s v="Displays"/>
    <n v="4"/>
    <n v="2200"/>
    <x v="3"/>
    <s v="Cash"/>
    <n v="8800"/>
    <m/>
    <m/>
  </r>
  <r>
    <s v="O00758"/>
    <n v="46218"/>
    <s v="C012"/>
    <x v="15"/>
    <x v="3"/>
    <s v="SME"/>
    <s v="P011"/>
    <x v="2"/>
    <s v="Storage"/>
    <n v="3"/>
    <n v="104.5"/>
    <x v="2"/>
    <s v="Card"/>
    <n v="313.5"/>
    <m/>
    <m/>
  </r>
  <r>
    <s v="O00759"/>
    <n v="46226"/>
    <s v="C090"/>
    <x v="42"/>
    <x v="3"/>
    <s v="Corporate"/>
    <s v="P018"/>
    <x v="0"/>
    <s v="Networking"/>
    <n v="1"/>
    <n v="95"/>
    <x v="3"/>
    <s v="Bank Transfer"/>
    <n v="95"/>
    <m/>
    <m/>
  </r>
  <r>
    <s v="O00760"/>
    <n v="46230"/>
    <s v="C072"/>
    <x v="87"/>
    <x v="3"/>
    <s v="Retail"/>
    <s v="P012"/>
    <x v="14"/>
    <s v="Storage"/>
    <n v="5"/>
    <n v="480"/>
    <x v="4"/>
    <s v="Cash"/>
    <n v="2400"/>
    <m/>
    <m/>
  </r>
  <r>
    <s v="O00761"/>
    <n v="46088"/>
    <s v="C046"/>
    <x v="16"/>
    <x v="2"/>
    <s v="Retail"/>
    <s v="P005"/>
    <x v="16"/>
    <s v="Displays"/>
    <n v="5"/>
    <n v="2200"/>
    <x v="0"/>
    <s v="Cash"/>
    <n v="11000"/>
    <m/>
    <m/>
  </r>
  <r>
    <s v="O00762"/>
    <n v="46162"/>
    <s v="C072"/>
    <x v="87"/>
    <x v="3"/>
    <s v="Retail"/>
    <s v="P010"/>
    <x v="17"/>
    <s v="Storage"/>
    <n v="3"/>
    <n v="720"/>
    <x v="5"/>
    <s v="Card"/>
    <n v="2160"/>
    <m/>
    <m/>
  </r>
  <r>
    <s v="O00763"/>
    <n v="46106"/>
    <s v="C070"/>
    <x v="69"/>
    <x v="1"/>
    <s v="Corporate"/>
    <s v="P012"/>
    <x v="14"/>
    <s v="Storage"/>
    <n v="3"/>
    <n v="480"/>
    <x v="5"/>
    <s v="Card"/>
    <n v="1440"/>
    <m/>
    <m/>
  </r>
  <r>
    <s v="O00764"/>
    <n v="46063"/>
    <s v="C009"/>
    <x v="73"/>
    <x v="3"/>
    <s v="Retail"/>
    <s v="P017"/>
    <x v="6"/>
    <s v="Networking"/>
    <n v="2"/>
    <n v="760"/>
    <x v="5"/>
    <s v="Bank Transfer"/>
    <n v="1520"/>
    <m/>
    <m/>
  </r>
  <r>
    <s v="O00765"/>
    <n v="46222"/>
    <s v="C059"/>
    <x v="29"/>
    <x v="2"/>
    <s v="Retail"/>
    <s v="P001"/>
    <x v="11"/>
    <s v="Accessories"/>
    <n v="3"/>
    <n v="85"/>
    <x v="0"/>
    <s v="Card"/>
    <n v="255"/>
    <m/>
    <m/>
  </r>
  <r>
    <s v="O00766"/>
    <n v="46182"/>
    <s v="C114"/>
    <x v="17"/>
    <x v="5"/>
    <s v="Corporate"/>
    <s v="P001"/>
    <x v="11"/>
    <s v="Accessories"/>
    <n v="5"/>
    <n v="89.25"/>
    <x v="3"/>
    <s v="Bank Transfer"/>
    <n v="446.25"/>
    <m/>
    <m/>
  </r>
  <r>
    <s v="O00767"/>
    <n v="46192"/>
    <s v="C093"/>
    <x v="38"/>
    <x v="4"/>
    <s v="SME"/>
    <s v="P003"/>
    <x v="13"/>
    <s v="Accessories"/>
    <n v="8"/>
    <n v="180"/>
    <x v="3"/>
    <s v="Cash"/>
    <n v="1440"/>
    <m/>
    <m/>
  </r>
  <r>
    <s v="O00768"/>
    <n v="46063"/>
    <s v="C099"/>
    <x v="7"/>
    <x v="2"/>
    <s v="Corporate"/>
    <s v="P018"/>
    <x v="0"/>
    <s v="Networking"/>
    <n v="3"/>
    <n v="95"/>
    <x v="1"/>
    <s v="Bank Transfer"/>
    <n v="285"/>
    <m/>
    <m/>
  </r>
  <r>
    <s v="O00769"/>
    <n v="46157"/>
    <s v="C015"/>
    <x v="7"/>
    <x v="0"/>
    <s v="Corporate"/>
    <s v="P004"/>
    <x v="3"/>
    <s v="Displays"/>
    <n v="3"/>
    <n v="1377.5"/>
    <x v="3"/>
    <s v="Card"/>
    <n v="4132.5"/>
    <m/>
    <m/>
  </r>
  <r>
    <s v="O00770"/>
    <n v="46075"/>
    <s v="C112"/>
    <x v="12"/>
    <x v="0"/>
    <s v="Retail"/>
    <s v="P002"/>
    <x v="12"/>
    <s v="Accessories"/>
    <n v="1"/>
    <n v="240"/>
    <x v="4"/>
    <s v="Mobile Money"/>
    <n v="240"/>
    <m/>
    <m/>
  </r>
  <r>
    <s v="O00771"/>
    <n v="46192"/>
    <s v="C074"/>
    <x v="43"/>
    <x v="2"/>
    <s v="SME"/>
    <s v="P013"/>
    <x v="9"/>
    <s v="Accessories"/>
    <n v="2"/>
    <n v="336"/>
    <x v="0"/>
    <s v="Bank Transfer"/>
    <n v="672"/>
    <m/>
    <m/>
  </r>
  <r>
    <s v="O00772"/>
    <n v="46080"/>
    <s v="C007"/>
    <x v="48"/>
    <x v="1"/>
    <s v="Corporate"/>
    <s v="P012"/>
    <x v="14"/>
    <s v="Storage"/>
    <n v="3"/>
    <n v="456"/>
    <x v="4"/>
    <s v="Card"/>
    <n v="1368"/>
    <m/>
    <m/>
  </r>
  <r>
    <s v="O00773"/>
    <n v="46251"/>
    <s v="C084"/>
    <x v="66"/>
    <x v="4"/>
    <s v="Corporate"/>
    <s v="P016"/>
    <x v="15"/>
    <s v="Networking"/>
    <n v="4"/>
    <n v="590"/>
    <x v="0"/>
    <s v="Mobile Money"/>
    <n v="2360"/>
    <m/>
    <m/>
  </r>
  <r>
    <s v="O00774"/>
    <n v="46214"/>
    <s v="C047"/>
    <x v="10"/>
    <x v="2"/>
    <s v="Corporate"/>
    <s v="P018"/>
    <x v="0"/>
    <s v="Networking"/>
    <n v="6"/>
    <n v="95"/>
    <x v="2"/>
    <s v="Mobile Money"/>
    <n v="570"/>
    <m/>
    <m/>
  </r>
  <r>
    <s v="O00775"/>
    <n v="46159"/>
    <s v="C106"/>
    <x v="4"/>
    <x v="3"/>
    <s v="Corporate"/>
    <s v="P009"/>
    <x v="7"/>
    <s v="Computers"/>
    <n v="1"/>
    <n v="2945"/>
    <x v="2"/>
    <s v="Mobile Money"/>
    <n v="2945"/>
    <m/>
    <m/>
  </r>
  <r>
    <s v="O00776"/>
    <n v="46048"/>
    <s v="C028"/>
    <x v="68"/>
    <x v="3"/>
    <s v="Retail"/>
    <s v="P017"/>
    <x v="6"/>
    <s v="Networking"/>
    <n v="1"/>
    <n v="760"/>
    <x v="5"/>
    <s v="Cash"/>
    <n v="760"/>
    <m/>
    <m/>
  </r>
  <r>
    <s v="O00777"/>
    <n v="46158"/>
    <s v="C025"/>
    <x v="40"/>
    <x v="0"/>
    <s v="Corporate"/>
    <s v="P007"/>
    <x v="5"/>
    <s v="Computers"/>
    <n v="3"/>
    <n v="5460"/>
    <x v="0"/>
    <s v="Card"/>
    <n v="16380"/>
    <m/>
    <m/>
  </r>
  <r>
    <s v="O00778"/>
    <n v="46130"/>
    <s v="C072"/>
    <x v="87"/>
    <x v="3"/>
    <s v="Retail"/>
    <s v="P018"/>
    <x v="0"/>
    <s v="Networking"/>
    <n v="3"/>
    <n v="99.75"/>
    <x v="2"/>
    <s v="Cash"/>
    <n v="299.25"/>
    <m/>
    <m/>
  </r>
  <r>
    <s v="O00779"/>
    <n v="46250"/>
    <s v="C090"/>
    <x v="42"/>
    <x v="3"/>
    <s v="Corporate"/>
    <s v="P014"/>
    <x v="8"/>
    <s v="Audio"/>
    <n v="1"/>
    <n v="650"/>
    <x v="5"/>
    <s v="Cash"/>
    <n v="650"/>
    <m/>
    <m/>
  </r>
  <r>
    <s v="O00780"/>
    <n v="46192"/>
    <s v="C065"/>
    <x v="36"/>
    <x v="4"/>
    <s v="Retail"/>
    <s v="P011"/>
    <x v="2"/>
    <s v="Storage"/>
    <n v="1"/>
    <n v="115.5"/>
    <x v="1"/>
    <s v="Bank Transfer"/>
    <n v="115.5"/>
    <m/>
    <m/>
  </r>
  <r>
    <s v="O00781"/>
    <n v="46164"/>
    <s v="C116"/>
    <x v="59"/>
    <x v="3"/>
    <s v="SME"/>
    <s v="P011"/>
    <x v="2"/>
    <s v="Storage"/>
    <n v="10"/>
    <n v="110"/>
    <x v="2"/>
    <s v="Cash"/>
    <n v="1100"/>
    <m/>
    <m/>
  </r>
  <r>
    <s v="O00782"/>
    <n v="46235"/>
    <s v="C098"/>
    <x v="50"/>
    <x v="4"/>
    <s v="Retail"/>
    <s v="P014"/>
    <x v="8"/>
    <s v="Audio"/>
    <n v="3"/>
    <n v="682.5"/>
    <x v="3"/>
    <s v="Card"/>
    <n v="2047.5"/>
    <m/>
    <m/>
  </r>
  <r>
    <s v="O00783"/>
    <n v="46214"/>
    <s v="C049"/>
    <x v="60"/>
    <x v="3"/>
    <s v="Retail"/>
    <s v="P018"/>
    <x v="0"/>
    <s v="Networking"/>
    <n v="1"/>
    <n v="95"/>
    <x v="1"/>
    <s v="Cash"/>
    <n v="95"/>
    <m/>
    <m/>
  </r>
  <r>
    <s v="O00784"/>
    <n v="46096"/>
    <s v="C001"/>
    <x v="46"/>
    <x v="1"/>
    <s v="SME"/>
    <s v="P002"/>
    <x v="12"/>
    <s v="Accessories"/>
    <n v="3"/>
    <n v="252"/>
    <x v="3"/>
    <s v="Bank Transfer"/>
    <n v="756"/>
    <m/>
    <m/>
  </r>
  <r>
    <s v="O00785"/>
    <n v="46080"/>
    <s v="C001"/>
    <x v="46"/>
    <x v="1"/>
    <s v="SME"/>
    <s v="P010"/>
    <x v="17"/>
    <s v="Storage"/>
    <n v="1"/>
    <n v="720"/>
    <x v="4"/>
    <s v="Bank Transfer"/>
    <n v="720"/>
    <m/>
    <m/>
  </r>
  <r>
    <s v="O00786"/>
    <n v="46154"/>
    <s v="C118"/>
    <x v="51"/>
    <x v="0"/>
    <s v="SME"/>
    <s v="P018"/>
    <x v="0"/>
    <s v="Networking"/>
    <n v="2"/>
    <n v="99.75"/>
    <x v="3"/>
    <s v="Mobile Money"/>
    <n v="199.5"/>
    <m/>
    <m/>
  </r>
  <r>
    <s v="O00787"/>
    <n v="46115"/>
    <s v="C005"/>
    <x v="20"/>
    <x v="2"/>
    <s v="Retail"/>
    <s v="P015"/>
    <x v="4"/>
    <s v="Audio"/>
    <n v="1"/>
    <n v="420"/>
    <x v="2"/>
    <s v="Card"/>
    <n v="420"/>
    <m/>
    <m/>
  </r>
  <r>
    <s v="O00788"/>
    <n v="46231"/>
    <s v="C030"/>
    <x v="35"/>
    <x v="5"/>
    <s v="SME"/>
    <s v="P009"/>
    <x v="7"/>
    <s v="Computers"/>
    <n v="1"/>
    <n v="3255"/>
    <x v="1"/>
    <s v="Card"/>
    <n v="3255"/>
    <m/>
    <m/>
  </r>
  <r>
    <s v="O00789"/>
    <n v="46209"/>
    <s v="C094"/>
    <x v="63"/>
    <x v="1"/>
    <s v="Corporate"/>
    <s v="P003"/>
    <x v="13"/>
    <s v="Accessories"/>
    <n v="1"/>
    <n v="180"/>
    <x v="3"/>
    <s v="Cash"/>
    <n v="180"/>
    <m/>
    <m/>
  </r>
  <r>
    <s v="O00790"/>
    <n v="46176"/>
    <s v="C106"/>
    <x v="4"/>
    <x v="3"/>
    <s v="Corporate"/>
    <s v="P004"/>
    <x v="3"/>
    <s v="Displays"/>
    <n v="3"/>
    <n v="1377.5"/>
    <x v="0"/>
    <s v="Cash"/>
    <n v="4132.5"/>
    <m/>
    <m/>
  </r>
  <r>
    <s v="O00791"/>
    <n v="46259"/>
    <s v="C011"/>
    <x v="58"/>
    <x v="0"/>
    <s v="Retail"/>
    <s v="P002"/>
    <x v="12"/>
    <s v="Accessories"/>
    <n v="4"/>
    <n v="240"/>
    <x v="1"/>
    <s v="Cash"/>
    <n v="960"/>
    <m/>
    <m/>
  </r>
  <r>
    <s v="O00792"/>
    <n v="46246"/>
    <s v="C120"/>
    <x v="91"/>
    <x v="3"/>
    <s v="SME"/>
    <s v="P004"/>
    <x v="3"/>
    <s v="Displays"/>
    <n v="4"/>
    <n v="1522.5"/>
    <x v="4"/>
    <s v="Cash"/>
    <n v="6090"/>
    <m/>
    <m/>
  </r>
  <r>
    <s v="O00793"/>
    <n v="46158"/>
    <s v="C007"/>
    <x v="48"/>
    <x v="1"/>
    <s v="Corporate"/>
    <s v="P010"/>
    <x v="17"/>
    <s v="Storage"/>
    <n v="1"/>
    <n v="756"/>
    <x v="5"/>
    <s v="Card"/>
    <n v="756"/>
    <m/>
    <m/>
  </r>
  <r>
    <s v="O00794"/>
    <n v="46202"/>
    <s v="C042"/>
    <x v="11"/>
    <x v="0"/>
    <s v="SME"/>
    <s v="P017"/>
    <x v="6"/>
    <s v="Networking"/>
    <n v="1"/>
    <n v="722"/>
    <x v="0"/>
    <s v="Cash"/>
    <n v="722"/>
    <m/>
    <m/>
  </r>
  <r>
    <s v="O00795"/>
    <n v="46047"/>
    <s v="C058"/>
    <x v="72"/>
    <x v="4"/>
    <s v="SME"/>
    <s v="P017"/>
    <x v="6"/>
    <s v="Networking"/>
    <n v="1"/>
    <n v="760"/>
    <x v="1"/>
    <s v="Card"/>
    <n v="760"/>
    <m/>
    <m/>
  </r>
  <r>
    <s v="O00796"/>
    <n v="46045"/>
    <s v="C017"/>
    <x v="48"/>
    <x v="3"/>
    <s v="Retail"/>
    <s v="P011"/>
    <x v="2"/>
    <s v="Storage"/>
    <n v="2"/>
    <n v="104.5"/>
    <x v="5"/>
    <s v="Cash"/>
    <n v="209"/>
    <m/>
    <m/>
  </r>
  <r>
    <s v="O00797"/>
    <n v="46126"/>
    <s v="C034"/>
    <x v="45"/>
    <x v="0"/>
    <s v="Retail"/>
    <s v="P003"/>
    <x v="13"/>
    <s v="Accessories"/>
    <n v="2"/>
    <n v="180"/>
    <x v="3"/>
    <s v="Cash"/>
    <n v="360"/>
    <m/>
    <m/>
  </r>
  <r>
    <s v="O00798"/>
    <n v="46148"/>
    <s v="C072"/>
    <x v="87"/>
    <x v="3"/>
    <s v="Retail"/>
    <s v="P007"/>
    <x v="5"/>
    <s v="Computers"/>
    <n v="2"/>
    <n v="5460"/>
    <x v="3"/>
    <s v="Card"/>
    <n v="10920"/>
    <m/>
    <m/>
  </r>
  <r>
    <s v="O00799"/>
    <n v="46092"/>
    <s v="C032"/>
    <x v="44"/>
    <x v="4"/>
    <s v="Corporate"/>
    <s v="P003"/>
    <x v="13"/>
    <s v="Accessories"/>
    <n v="4"/>
    <n v="180"/>
    <x v="0"/>
    <s v="Mobile Money"/>
    <n v="720"/>
    <m/>
    <m/>
  </r>
  <r>
    <s v="O00800"/>
    <n v="46132"/>
    <s v="C015"/>
    <x v="7"/>
    <x v="0"/>
    <s v="Corporate"/>
    <s v="P014"/>
    <x v="8"/>
    <s v="Audio"/>
    <n v="2"/>
    <n v="650"/>
    <x v="2"/>
    <s v="Bank Transfer"/>
    <n v="1300"/>
    <m/>
    <m/>
  </r>
  <r>
    <s v="O00801"/>
    <n v="46221"/>
    <s v="C077"/>
    <x v="8"/>
    <x v="3"/>
    <s v="Retail"/>
    <s v="P001"/>
    <x v="11"/>
    <s v="Accessories"/>
    <n v="1"/>
    <n v="85"/>
    <x v="5"/>
    <s v="Cash"/>
    <n v="85"/>
    <m/>
    <m/>
  </r>
  <r>
    <s v="O00802"/>
    <n v="46136"/>
    <s v="C080"/>
    <x v="99"/>
    <x v="3"/>
    <s v="SME"/>
    <s v="P005"/>
    <x v="16"/>
    <s v="Displays"/>
    <n v="1"/>
    <n v="2200"/>
    <x v="3"/>
    <s v="Bank Transfer"/>
    <n v="2200"/>
    <m/>
    <m/>
  </r>
  <r>
    <s v="O00803"/>
    <n v="46052"/>
    <s v="C020"/>
    <x v="81"/>
    <x v="1"/>
    <s v="SME"/>
    <s v="P003"/>
    <x v="13"/>
    <s v="Accessories"/>
    <n v="3"/>
    <n v="180"/>
    <x v="5"/>
    <s v="Card"/>
    <n v="540"/>
    <m/>
    <m/>
  </r>
  <r>
    <s v="O00804"/>
    <n v="46027"/>
    <s v="C112"/>
    <x v="12"/>
    <x v="0"/>
    <s v="Retail"/>
    <s v="P010"/>
    <x v="17"/>
    <s v="Storage"/>
    <n v="2"/>
    <n v="684"/>
    <x v="2"/>
    <s v="Cash"/>
    <n v="1368"/>
    <m/>
    <m/>
  </r>
  <r>
    <s v="O00805"/>
    <n v="46108"/>
    <s v="C061"/>
    <x v="24"/>
    <x v="2"/>
    <s v="Retail"/>
    <s v="P001"/>
    <x v="11"/>
    <s v="Accessories"/>
    <n v="1"/>
    <n v="89.25"/>
    <x v="3"/>
    <s v="Card"/>
    <n v="89.25"/>
    <m/>
    <m/>
  </r>
  <r>
    <s v="O00806"/>
    <n v="46216"/>
    <s v="C070"/>
    <x v="69"/>
    <x v="1"/>
    <s v="Corporate"/>
    <s v="P017"/>
    <x v="6"/>
    <s v="Networking"/>
    <n v="1"/>
    <n v="760"/>
    <x v="5"/>
    <s v="Card"/>
    <n v="760"/>
    <m/>
    <m/>
  </r>
  <r>
    <s v="O00807"/>
    <n v="46120"/>
    <s v="C089"/>
    <x v="2"/>
    <x v="3"/>
    <s v="Corporate"/>
    <s v="P001"/>
    <x v="11"/>
    <s v="Accessories"/>
    <n v="2"/>
    <n v="89.25"/>
    <x v="4"/>
    <s v="Bank Transfer"/>
    <n v="178.5"/>
    <m/>
    <m/>
  </r>
  <r>
    <s v="O00808"/>
    <n v="46096"/>
    <s v="C022"/>
    <x v="30"/>
    <x v="1"/>
    <s v="Corporate"/>
    <s v="P002"/>
    <x v="12"/>
    <s v="Accessories"/>
    <n v="1"/>
    <n v="252"/>
    <x v="2"/>
    <s v="Mobile Money"/>
    <n v="252"/>
    <m/>
    <m/>
  </r>
  <r>
    <s v="O00809"/>
    <n v="46041"/>
    <s v="C060"/>
    <x v="53"/>
    <x v="4"/>
    <s v="Corporate"/>
    <s v="P001"/>
    <x v="11"/>
    <s v="Accessories"/>
    <n v="2"/>
    <n v="85"/>
    <x v="0"/>
    <s v="Bank Transfer"/>
    <n v="170"/>
    <m/>
    <m/>
  </r>
  <r>
    <s v="O00810"/>
    <n v="46028"/>
    <s v="C111"/>
    <x v="54"/>
    <x v="5"/>
    <s v="SME"/>
    <s v="P004"/>
    <x v="3"/>
    <s v="Displays"/>
    <n v="1"/>
    <n v="1450"/>
    <x v="3"/>
    <s v="Cash"/>
    <n v="1450"/>
    <m/>
    <m/>
  </r>
  <r>
    <s v="O00811"/>
    <n v="46255"/>
    <s v="C066"/>
    <x v="38"/>
    <x v="5"/>
    <s v="Retail"/>
    <s v="P004"/>
    <x v="3"/>
    <s v="Displays"/>
    <n v="1"/>
    <n v="1522.5"/>
    <x v="5"/>
    <s v="Mobile Money"/>
    <n v="1522.5"/>
    <m/>
    <m/>
  </r>
  <r>
    <s v="O00812"/>
    <n v="46152"/>
    <s v="C024"/>
    <x v="17"/>
    <x v="2"/>
    <s v="Retail"/>
    <s v="P007"/>
    <x v="5"/>
    <s v="Computers"/>
    <n v="8"/>
    <n v="5460"/>
    <x v="0"/>
    <s v="Mobile Money"/>
    <n v="43680"/>
    <m/>
    <m/>
  </r>
  <r>
    <s v="O00813"/>
    <n v="46159"/>
    <s v="C006"/>
    <x v="16"/>
    <x v="3"/>
    <s v="Corporate"/>
    <s v="P008"/>
    <x v="1"/>
    <s v="Computers"/>
    <n v="1"/>
    <n v="8200"/>
    <x v="1"/>
    <s v="Card"/>
    <n v="8200"/>
    <m/>
    <m/>
  </r>
  <r>
    <s v="O00814"/>
    <n v="46199"/>
    <s v="C003"/>
    <x v="23"/>
    <x v="1"/>
    <s v="Corporate"/>
    <s v="P012"/>
    <x v="14"/>
    <s v="Storage"/>
    <n v="2"/>
    <n v="480"/>
    <x v="3"/>
    <s v="Bank Transfer"/>
    <n v="960"/>
    <m/>
    <m/>
  </r>
  <r>
    <s v="O00815"/>
    <n v="46184"/>
    <s v="C104"/>
    <x v="80"/>
    <x v="4"/>
    <s v="SME"/>
    <s v="P002"/>
    <x v="12"/>
    <s v="Accessories"/>
    <n v="1"/>
    <n v="240"/>
    <x v="4"/>
    <s v="Bank Transfer"/>
    <n v="240"/>
    <m/>
    <m/>
  </r>
  <r>
    <s v="O00816"/>
    <n v="46111"/>
    <s v="C029"/>
    <x v="31"/>
    <x v="1"/>
    <s v="SME"/>
    <s v="P005"/>
    <x v="16"/>
    <s v="Displays"/>
    <n v="5"/>
    <n v="2200"/>
    <x v="4"/>
    <s v="Cash"/>
    <n v="11000"/>
    <m/>
    <m/>
  </r>
  <r>
    <s v="O00817"/>
    <n v="46130"/>
    <s v="C067"/>
    <x v="96"/>
    <x v="5"/>
    <s v="Retail"/>
    <s v="P008"/>
    <x v="1"/>
    <s v="Computers"/>
    <n v="1"/>
    <n v="8200"/>
    <x v="1"/>
    <s v="Bank Transfer"/>
    <n v="8200"/>
    <m/>
    <m/>
  </r>
  <r>
    <s v="O00818"/>
    <n v="46138"/>
    <s v="C117"/>
    <x v="28"/>
    <x v="2"/>
    <s v="SME"/>
    <s v="P011"/>
    <x v="2"/>
    <s v="Storage"/>
    <n v="2"/>
    <n v="110"/>
    <x v="0"/>
    <s v="Card"/>
    <n v="220"/>
    <m/>
    <m/>
  </r>
  <r>
    <s v="O00819"/>
    <n v="46199"/>
    <s v="C075"/>
    <x v="90"/>
    <x v="3"/>
    <s v="SME"/>
    <s v="P018"/>
    <x v="0"/>
    <s v="Networking"/>
    <n v="4"/>
    <n v="95"/>
    <x v="2"/>
    <s v="Card"/>
    <n v="380"/>
    <m/>
    <m/>
  </r>
  <r>
    <s v="O00820"/>
    <n v="46191"/>
    <s v="C056"/>
    <x v="104"/>
    <x v="4"/>
    <s v="Corporate"/>
    <s v="P005"/>
    <x v="16"/>
    <s v="Displays"/>
    <n v="6"/>
    <n v="2200"/>
    <x v="2"/>
    <s v="Mobile Money"/>
    <n v="13200"/>
    <m/>
    <m/>
  </r>
  <r>
    <s v="O00821"/>
    <n v="46208"/>
    <s v="C072"/>
    <x v="87"/>
    <x v="3"/>
    <s v="Retail"/>
    <s v="P018"/>
    <x v="0"/>
    <s v="Networking"/>
    <n v="1"/>
    <n v="95"/>
    <x v="3"/>
    <s v="Mobile Money"/>
    <n v="95"/>
    <m/>
    <m/>
  </r>
  <r>
    <s v="O00822"/>
    <n v="46249"/>
    <s v="C098"/>
    <x v="50"/>
    <x v="4"/>
    <s v="Retail"/>
    <s v="P011"/>
    <x v="2"/>
    <s v="Storage"/>
    <n v="8"/>
    <n v="110"/>
    <x v="2"/>
    <s v="Cash"/>
    <n v="880"/>
    <m/>
    <m/>
  </r>
  <r>
    <s v="O00823"/>
    <n v="46062"/>
    <s v="C096"/>
    <x v="71"/>
    <x v="1"/>
    <s v="SME"/>
    <s v="P009"/>
    <x v="7"/>
    <s v="Computers"/>
    <n v="4"/>
    <n v="2945"/>
    <x v="3"/>
    <s v="Card"/>
    <n v="11780"/>
    <m/>
    <m/>
  </r>
  <r>
    <s v="O00824"/>
    <n v="46179"/>
    <s v="C004"/>
    <x v="2"/>
    <x v="5"/>
    <s v="Retail"/>
    <s v="P009"/>
    <x v="7"/>
    <s v="Computers"/>
    <n v="2"/>
    <n v="3100"/>
    <x v="5"/>
    <s v="Card"/>
    <n v="6200"/>
    <m/>
    <m/>
  </r>
  <r>
    <s v="O00825"/>
    <n v="46115"/>
    <s v="C030"/>
    <x v="35"/>
    <x v="5"/>
    <s v="SME"/>
    <s v="P001"/>
    <x v="11"/>
    <s v="Accessories"/>
    <n v="1"/>
    <n v="85"/>
    <x v="3"/>
    <s v="Cash"/>
    <n v="85"/>
    <m/>
    <m/>
  </r>
  <r>
    <s v="O00826"/>
    <n v="46071"/>
    <s v="C092"/>
    <x v="78"/>
    <x v="5"/>
    <s v="Corporate"/>
    <s v="P012"/>
    <x v="14"/>
    <s v="Storage"/>
    <n v="5"/>
    <n v="480"/>
    <x v="1"/>
    <s v="Card"/>
    <n v="2400"/>
    <m/>
    <m/>
  </r>
  <r>
    <s v="O00827"/>
    <n v="46081"/>
    <s v="C021"/>
    <x v="82"/>
    <x v="0"/>
    <s v="Retail"/>
    <s v="P007"/>
    <x v="5"/>
    <s v="Computers"/>
    <n v="1"/>
    <n v="4940"/>
    <x v="2"/>
    <s v="Cash"/>
    <n v="4940"/>
    <m/>
    <m/>
  </r>
  <r>
    <s v="O00828"/>
    <n v="46217"/>
    <s v="C029"/>
    <x v="31"/>
    <x v="1"/>
    <s v="SME"/>
    <s v="P007"/>
    <x v="5"/>
    <s v="Computers"/>
    <n v="1"/>
    <n v="5200"/>
    <x v="1"/>
    <s v="Cash"/>
    <n v="5200"/>
    <m/>
    <m/>
  </r>
  <r>
    <s v="O00829"/>
    <n v="46245"/>
    <s v="C089"/>
    <x v="105"/>
    <x v="3"/>
    <s v="Corporate"/>
    <s v="P011"/>
    <x v="2"/>
    <s v="Storage"/>
    <n v="2"/>
    <n v="110"/>
    <x v="1"/>
    <s v="Cash"/>
    <n v="220"/>
    <m/>
    <m/>
  </r>
  <r>
    <s v="O00830"/>
    <n v="46179"/>
    <s v="C100"/>
    <x v="0"/>
    <x v="0"/>
    <s v="Retail"/>
    <s v="P002"/>
    <x v="12"/>
    <s v="Accessories"/>
    <n v="3"/>
    <n v="240"/>
    <x v="0"/>
    <s v="Bank Transfer"/>
    <n v="720"/>
    <m/>
    <m/>
  </r>
  <r>
    <s v="O00831"/>
    <n v="46158"/>
    <s v="C051"/>
    <x v="34"/>
    <x v="4"/>
    <s v="Retail"/>
    <s v="P018"/>
    <x v="0"/>
    <s v="Networking"/>
    <n v="3"/>
    <n v="90.25"/>
    <x v="5"/>
    <s v="Mobile Money"/>
    <n v="270.75"/>
    <m/>
    <m/>
  </r>
  <r>
    <s v="O00832"/>
    <n v="46235"/>
    <s v="C058"/>
    <x v="72"/>
    <x v="4"/>
    <s v="SME"/>
    <s v="P015"/>
    <x v="4"/>
    <s v="Audio"/>
    <n v="5"/>
    <n v="420"/>
    <x v="5"/>
    <s v="Cash"/>
    <n v="2100"/>
    <m/>
    <m/>
  </r>
  <r>
    <s v="O00833"/>
    <n v="46166"/>
    <s v="C095"/>
    <x v="77"/>
    <x v="0"/>
    <s v="SME"/>
    <s v="P002"/>
    <x v="12"/>
    <s v="Accessories"/>
    <n v="2"/>
    <n v="228"/>
    <x v="3"/>
    <s v="Bank Transfer"/>
    <n v="456"/>
    <m/>
    <m/>
  </r>
  <r>
    <s v="O00834"/>
    <n v="46250"/>
    <s v="C057"/>
    <x v="48"/>
    <x v="0"/>
    <s v="SME"/>
    <s v="P013"/>
    <x v="9"/>
    <s v="Accessories"/>
    <n v="1"/>
    <n v="320"/>
    <x v="1"/>
    <s v="Card"/>
    <n v="320"/>
    <m/>
    <m/>
  </r>
  <r>
    <s v="O00835"/>
    <n v="46180"/>
    <s v="C055"/>
    <x v="39"/>
    <x v="4"/>
    <s v="SME"/>
    <s v="P010"/>
    <x v="17"/>
    <s v="Storage"/>
    <n v="6"/>
    <n v="756"/>
    <x v="3"/>
    <s v="Cash"/>
    <n v="4536"/>
    <m/>
    <m/>
  </r>
  <r>
    <s v="O00836"/>
    <n v="46047"/>
    <s v="C107"/>
    <x v="61"/>
    <x v="0"/>
    <s v="SME"/>
    <s v="P015"/>
    <x v="4"/>
    <s v="Audio"/>
    <n v="3"/>
    <n v="399"/>
    <x v="3"/>
    <s v="Card"/>
    <n v="1197"/>
    <m/>
    <m/>
  </r>
  <r>
    <s v="O00837"/>
    <n v="46106"/>
    <s v="C051"/>
    <x v="34"/>
    <x v="4"/>
    <s v="Retail"/>
    <s v="P014"/>
    <x v="8"/>
    <s v="Audio"/>
    <n v="2"/>
    <n v="650"/>
    <x v="1"/>
    <s v="Card"/>
    <n v="1300"/>
    <m/>
    <m/>
  </r>
  <r>
    <s v="O00838"/>
    <n v="46047"/>
    <s v="C113"/>
    <x v="0"/>
    <x v="1"/>
    <s v="SME"/>
    <s v="P015"/>
    <x v="4"/>
    <s v="Audio"/>
    <n v="1"/>
    <n v="420"/>
    <x v="0"/>
    <s v="Mobile Money"/>
    <n v="420"/>
    <m/>
    <m/>
  </r>
  <r>
    <s v="O00839"/>
    <n v="46204"/>
    <s v="C012"/>
    <x v="15"/>
    <x v="3"/>
    <s v="SME"/>
    <s v="P004"/>
    <x v="3"/>
    <s v="Displays"/>
    <n v="2"/>
    <n v="1450"/>
    <x v="4"/>
    <s v="Cash"/>
    <n v="2900"/>
    <m/>
    <m/>
  </r>
  <r>
    <s v="O00840"/>
    <n v="46180"/>
    <s v="C094"/>
    <x v="63"/>
    <x v="1"/>
    <s v="Corporate"/>
    <s v="P017"/>
    <x v="6"/>
    <s v="Networking"/>
    <n v="6"/>
    <n v="760"/>
    <x v="5"/>
    <s v="Cash"/>
    <n v="4560"/>
    <m/>
    <m/>
  </r>
  <r>
    <s v="O00841"/>
    <n v="46257"/>
    <s v="C006"/>
    <x v="16"/>
    <x v="3"/>
    <s v="Corporate"/>
    <s v="P006"/>
    <x v="10"/>
    <s v="Accessories"/>
    <n v="1"/>
    <n v="160"/>
    <x v="3"/>
    <s v="Card"/>
    <n v="160"/>
    <m/>
    <m/>
  </r>
  <r>
    <s v="O00842"/>
    <n v="46131"/>
    <s v="C023"/>
    <x v="2"/>
    <x v="1"/>
    <s v="Retail"/>
    <s v="P002"/>
    <x v="12"/>
    <s v="Accessories"/>
    <n v="1"/>
    <n v="240"/>
    <x v="2"/>
    <s v="Card"/>
    <n v="240"/>
    <m/>
    <m/>
  </r>
  <r>
    <s v="O00843"/>
    <n v="46075"/>
    <s v="C016"/>
    <x v="83"/>
    <x v="0"/>
    <s v="Corporate"/>
    <s v="P005"/>
    <x v="16"/>
    <s v="Displays"/>
    <n v="1"/>
    <n v="2200"/>
    <x v="4"/>
    <s v="Cash"/>
    <n v="2200"/>
    <m/>
    <m/>
  </r>
  <r>
    <s v="O00844"/>
    <n v="46163"/>
    <s v="C064"/>
    <x v="7"/>
    <x v="2"/>
    <s v="SME"/>
    <s v="P016"/>
    <x v="15"/>
    <s v="Networking"/>
    <n v="4"/>
    <n v="619.5"/>
    <x v="1"/>
    <s v="Card"/>
    <n v="2478"/>
    <m/>
    <m/>
  </r>
  <r>
    <s v="O00845"/>
    <n v="46140"/>
    <s v="C028"/>
    <x v="68"/>
    <x v="3"/>
    <s v="Retail"/>
    <s v="P016"/>
    <x v="15"/>
    <s v="Networking"/>
    <n v="2"/>
    <n v="560.5"/>
    <x v="5"/>
    <s v="Mobile Money"/>
    <n v="1121"/>
    <m/>
    <m/>
  </r>
  <r>
    <s v="O00846"/>
    <n v="46095"/>
    <s v="C032"/>
    <x v="106"/>
    <x v="4"/>
    <s v="Corporate"/>
    <s v="P018"/>
    <x v="0"/>
    <s v="Networking"/>
    <n v="3"/>
    <n v="99.75"/>
    <x v="3"/>
    <s v="Mobile Money"/>
    <n v="299.25"/>
    <m/>
    <m/>
  </r>
  <r>
    <s v="O00847"/>
    <n v="46038"/>
    <s v="C024"/>
    <x v="17"/>
    <x v="2"/>
    <s v="Retail"/>
    <s v="P005"/>
    <x v="16"/>
    <s v="Displays"/>
    <n v="3"/>
    <n v="2090"/>
    <x v="3"/>
    <s v="Mobile Money"/>
    <n v="6270"/>
    <m/>
    <m/>
  </r>
  <r>
    <s v="O00848"/>
    <n v="46108"/>
    <s v="C086"/>
    <x v="12"/>
    <x v="4"/>
    <s v="SME"/>
    <s v="P010"/>
    <x v="17"/>
    <s v="Storage"/>
    <n v="6"/>
    <n v="684"/>
    <x v="4"/>
    <s v="Cash"/>
    <n v="4104"/>
    <m/>
    <m/>
  </r>
  <r>
    <s v="O00849"/>
    <n v="46196"/>
    <s v="C023"/>
    <x v="2"/>
    <x v="1"/>
    <s v="Retail"/>
    <s v="P006"/>
    <x v="10"/>
    <s v="Accessories"/>
    <n v="1"/>
    <n v="168"/>
    <x v="5"/>
    <s v="Card"/>
    <n v="168"/>
    <m/>
    <m/>
  </r>
  <r>
    <s v="O00850"/>
    <n v="46033"/>
    <s v="C059"/>
    <x v="29"/>
    <x v="2"/>
    <s v="Retail"/>
    <s v="P012"/>
    <x v="14"/>
    <s v="Storage"/>
    <n v="1"/>
    <n v="480"/>
    <x v="2"/>
    <s v="Bank Transfer"/>
    <n v="480"/>
    <m/>
    <m/>
  </r>
  <r>
    <s v="O00851"/>
    <n v="46233"/>
    <s v="C115"/>
    <x v="20"/>
    <x v="3"/>
    <s v="Corporate"/>
    <s v="P013"/>
    <x v="9"/>
    <s v="Accessories"/>
    <n v="1"/>
    <n v="320"/>
    <x v="5"/>
    <s v="Mobile Money"/>
    <n v="320"/>
    <m/>
    <m/>
  </r>
  <r>
    <s v="O00852"/>
    <n v="46058"/>
    <s v="C038"/>
    <x v="78"/>
    <x v="5"/>
    <s v="SME"/>
    <s v="P016"/>
    <x v="15"/>
    <s v="Networking"/>
    <n v="1"/>
    <n v="590"/>
    <x v="2"/>
    <s v="Cash"/>
    <n v="590"/>
    <m/>
    <m/>
  </r>
  <r>
    <s v="O00853"/>
    <n v="46202"/>
    <s v="C068"/>
    <x v="57"/>
    <x v="1"/>
    <s v="SME"/>
    <s v="P007"/>
    <x v="5"/>
    <s v="Computers"/>
    <n v="1"/>
    <n v="4940"/>
    <x v="4"/>
    <s v="Mobile Money"/>
    <n v="4940"/>
    <m/>
    <m/>
  </r>
  <r>
    <s v="O00854"/>
    <n v="46133"/>
    <s v="C062"/>
    <x v="13"/>
    <x v="1"/>
    <s v="Retail"/>
    <s v="P010"/>
    <x v="17"/>
    <s v="Storage"/>
    <n v="3"/>
    <n v="720"/>
    <x v="2"/>
    <s v="Bank Transfer"/>
    <n v="2160"/>
    <m/>
    <m/>
  </r>
  <r>
    <s v="O00855"/>
    <n v="46181"/>
    <s v="C119"/>
    <x v="1"/>
    <x v="0"/>
    <s v="Retail"/>
    <s v="P005"/>
    <x v="16"/>
    <s v="Displays"/>
    <n v="2"/>
    <n v="2310"/>
    <x v="0"/>
    <s v="Cash"/>
    <n v="4620"/>
    <m/>
    <m/>
  </r>
  <r>
    <s v="O00856"/>
    <n v="46250"/>
    <s v="C064"/>
    <x v="7"/>
    <x v="2"/>
    <s v="SME"/>
    <s v="P006"/>
    <x v="10"/>
    <s v="Accessories"/>
    <n v="3"/>
    <n v="160"/>
    <x v="3"/>
    <s v="Mobile Money"/>
    <n v="480"/>
    <m/>
    <m/>
  </r>
  <r>
    <s v="O00857"/>
    <n v="46143"/>
    <s v="C016"/>
    <x v="83"/>
    <x v="0"/>
    <s v="Corporate"/>
    <s v="P001"/>
    <x v="11"/>
    <s v="Accessories"/>
    <n v="3"/>
    <n v="80.75"/>
    <x v="0"/>
    <s v="Card"/>
    <n v="242.25"/>
    <m/>
    <m/>
  </r>
  <r>
    <s v="O00858"/>
    <n v="46129"/>
    <s v="C103"/>
    <x v="64"/>
    <x v="1"/>
    <s v="Corporate"/>
    <s v="P014"/>
    <x v="8"/>
    <s v="Audio"/>
    <n v="1"/>
    <n v="650"/>
    <x v="5"/>
    <s v="Card"/>
    <n v="650"/>
    <m/>
    <m/>
  </r>
  <r>
    <s v="O00859"/>
    <n v="46200"/>
    <s v="C002"/>
    <x v="55"/>
    <x v="2"/>
    <s v="Corporate"/>
    <s v="P007"/>
    <x v="5"/>
    <s v="Computers"/>
    <n v="1"/>
    <n v="4940"/>
    <x v="2"/>
    <s v="Bank Transfer"/>
    <n v="4940"/>
    <m/>
    <m/>
  </r>
  <r>
    <s v="O00860"/>
    <n v="46106"/>
    <s v="C065"/>
    <x v="36"/>
    <x v="4"/>
    <s v="Retail"/>
    <s v="P018"/>
    <x v="0"/>
    <s v="Networking"/>
    <n v="4"/>
    <n v="90.25"/>
    <x v="0"/>
    <s v="Bank Transfer"/>
    <n v="361"/>
    <m/>
    <m/>
  </r>
  <r>
    <s v="O00861"/>
    <n v="46209"/>
    <s v="C044"/>
    <x v="86"/>
    <x v="2"/>
    <s v="Corporate"/>
    <s v="P013"/>
    <x v="9"/>
    <s v="Accessories"/>
    <n v="2"/>
    <n v="304"/>
    <x v="3"/>
    <s v="Card"/>
    <n v="608"/>
    <m/>
    <m/>
  </r>
  <r>
    <s v="O00862"/>
    <n v="46196"/>
    <s v="C043"/>
    <x v="88"/>
    <x v="3"/>
    <s v="Corporate"/>
    <s v="P011"/>
    <x v="2"/>
    <s v="Storage"/>
    <n v="2"/>
    <n v="110"/>
    <x v="4"/>
    <s v="Card"/>
    <n v="220"/>
    <m/>
    <m/>
  </r>
  <r>
    <s v="O00863"/>
    <n v="46184"/>
    <s v="C062"/>
    <x v="13"/>
    <x v="1"/>
    <s v="Retail"/>
    <s v="P005"/>
    <x v="16"/>
    <s v="Displays"/>
    <n v="2"/>
    <n v="2310"/>
    <x v="2"/>
    <s v="Cash"/>
    <n v="4620"/>
    <m/>
    <m/>
  </r>
  <r>
    <s v="O00864"/>
    <n v="46214"/>
    <s v="C101"/>
    <x v="3"/>
    <x v="0"/>
    <s v="Retail"/>
    <s v="P014"/>
    <x v="8"/>
    <s v="Audio"/>
    <n v="1"/>
    <n v="682.5"/>
    <x v="2"/>
    <s v="Bank Transfer"/>
    <n v="682.5"/>
    <m/>
    <m/>
  </r>
  <r>
    <s v="O00865"/>
    <n v="46028"/>
    <s v="C072"/>
    <x v="87"/>
    <x v="3"/>
    <s v="Retail"/>
    <s v="P018"/>
    <x v="0"/>
    <s v="Networking"/>
    <n v="1"/>
    <n v="95"/>
    <x v="2"/>
    <s v="Mobile Money"/>
    <n v="95"/>
    <m/>
    <m/>
  </r>
  <r>
    <s v="O00866"/>
    <n v="46239"/>
    <s v="C020"/>
    <x v="81"/>
    <x v="1"/>
    <s v="SME"/>
    <s v="P009"/>
    <x v="7"/>
    <s v="Computers"/>
    <n v="1"/>
    <n v="3100"/>
    <x v="0"/>
    <s v="Card"/>
    <n v="3100"/>
    <m/>
    <m/>
  </r>
  <r>
    <s v="O00867"/>
    <n v="46071"/>
    <s v="C074"/>
    <x v="43"/>
    <x v="2"/>
    <s v="SME"/>
    <s v="P013"/>
    <x v="9"/>
    <s v="Accessories"/>
    <n v="3"/>
    <n v="320"/>
    <x v="0"/>
    <s v="Bank Transfer"/>
    <n v="960"/>
    <m/>
    <m/>
  </r>
  <r>
    <s v="O00868"/>
    <n v="46093"/>
    <s v="C091"/>
    <x v="24"/>
    <x v="4"/>
    <s v="Retail"/>
    <s v="P002"/>
    <x v="12"/>
    <s v="Accessories"/>
    <n v="2"/>
    <n v="240"/>
    <x v="3"/>
    <s v="Bank Transfer"/>
    <n v="480"/>
    <m/>
    <m/>
  </r>
  <r>
    <s v="O00869"/>
    <n v="46079"/>
    <s v="C058"/>
    <x v="72"/>
    <x v="4"/>
    <s v="SME"/>
    <s v="P010"/>
    <x v="17"/>
    <s v="Storage"/>
    <n v="2"/>
    <n v="720"/>
    <x v="4"/>
    <s v="Bank Transfer"/>
    <n v="1440"/>
    <m/>
    <m/>
  </r>
  <r>
    <s v="O00870"/>
    <n v="46223"/>
    <s v="C101"/>
    <x v="3"/>
    <x v="0"/>
    <s v="Retail"/>
    <s v="P002"/>
    <x v="12"/>
    <s v="Accessories"/>
    <n v="1"/>
    <n v="228"/>
    <x v="1"/>
    <s v="Mobile Money"/>
    <n v="228"/>
    <m/>
    <m/>
  </r>
  <r>
    <s v="O00871"/>
    <n v="46255"/>
    <s v="C103"/>
    <x v="64"/>
    <x v="1"/>
    <s v="Corporate"/>
    <s v="P016"/>
    <x v="15"/>
    <s v="Networking"/>
    <n v="2"/>
    <n v="590"/>
    <x v="2"/>
    <s v="Cash"/>
    <n v="1180"/>
    <m/>
    <m/>
  </r>
  <r>
    <s v="O00872"/>
    <n v="46103"/>
    <s v="C094"/>
    <x v="63"/>
    <x v="1"/>
    <s v="Corporate"/>
    <s v="P017"/>
    <x v="6"/>
    <s v="Networking"/>
    <n v="4"/>
    <n v="760"/>
    <x v="4"/>
    <s v="Card"/>
    <n v="3040"/>
    <m/>
    <m/>
  </r>
  <r>
    <s v="O00873"/>
    <n v="46141"/>
    <s v="C027"/>
    <x v="34"/>
    <x v="3"/>
    <s v="SME"/>
    <s v="P002"/>
    <x v="12"/>
    <s v="Accessories"/>
    <n v="2"/>
    <n v="252"/>
    <x v="4"/>
    <s v="Mobile Money"/>
    <n v="504"/>
    <m/>
    <m/>
  </r>
  <r>
    <s v="O00874"/>
    <n v="46199"/>
    <s v="C040"/>
    <x v="8"/>
    <x v="3"/>
    <s v="Corporate"/>
    <s v="P002"/>
    <x v="12"/>
    <s v="Accessories"/>
    <n v="5"/>
    <n v="228"/>
    <x v="2"/>
    <s v="Cash"/>
    <n v="1140"/>
    <m/>
    <m/>
  </r>
  <r>
    <s v="O00875"/>
    <n v="46050"/>
    <s v="C114"/>
    <x v="17"/>
    <x v="5"/>
    <s v="Corporate"/>
    <s v="P002"/>
    <x v="12"/>
    <s v="Accessories"/>
    <n v="2"/>
    <n v="240"/>
    <x v="4"/>
    <s v="Bank Transfer"/>
    <n v="480"/>
    <m/>
    <m/>
  </r>
  <r>
    <s v="O00876"/>
    <n v="46106"/>
    <s v="C082"/>
    <x v="62"/>
    <x v="1"/>
    <s v="Corporate"/>
    <s v="P007"/>
    <x v="5"/>
    <s v="Computers"/>
    <n v="1"/>
    <n v="5200"/>
    <x v="2"/>
    <s v="Bank Transfer"/>
    <n v="5200"/>
    <m/>
    <m/>
  </r>
  <r>
    <s v="O00877"/>
    <n v="46195"/>
    <s v="C099"/>
    <x v="7"/>
    <x v="2"/>
    <s v="Corporate"/>
    <s v="P015"/>
    <x v="4"/>
    <s v="Audio"/>
    <n v="1"/>
    <n v="420"/>
    <x v="3"/>
    <s v="Bank Transfer"/>
    <n v="420"/>
    <m/>
    <m/>
  </r>
  <r>
    <s v="O00878"/>
    <n v="46183"/>
    <s v="C015"/>
    <x v="7"/>
    <x v="0"/>
    <s v="Corporate"/>
    <s v="P001"/>
    <x v="11"/>
    <s v="Accessories"/>
    <n v="2"/>
    <n v="80.75"/>
    <x v="3"/>
    <s v="Bank Transfer"/>
    <n v="161.5"/>
    <m/>
    <m/>
  </r>
  <r>
    <s v="O00879"/>
    <n v="46093"/>
    <s v="C071"/>
    <x v="46"/>
    <x v="5"/>
    <s v="Corporate"/>
    <s v="P011"/>
    <x v="2"/>
    <s v="Storage"/>
    <n v="1"/>
    <n v="110"/>
    <x v="5"/>
    <s v="Card"/>
    <n v="110"/>
    <m/>
    <m/>
  </r>
  <r>
    <s v="O00880"/>
    <n v="46103"/>
    <s v="C022"/>
    <x v="30"/>
    <x v="1"/>
    <s v="Corporate"/>
    <s v="P003"/>
    <x v="13"/>
    <s v="Accessories"/>
    <n v="3"/>
    <n v="180"/>
    <x v="5"/>
    <s v="Cash"/>
    <n v="540"/>
    <m/>
    <m/>
  </r>
  <r>
    <s v="O00881"/>
    <n v="46031"/>
    <s v="C007"/>
    <x v="48"/>
    <x v="1"/>
    <s v="Corporate"/>
    <s v="P005"/>
    <x v="16"/>
    <s v="Displays"/>
    <n v="2"/>
    <n v="2090"/>
    <x v="4"/>
    <s v="Cash"/>
    <n v="4180"/>
    <m/>
    <m/>
  </r>
  <r>
    <s v="O00882"/>
    <n v="46133"/>
    <s v="C007"/>
    <x v="48"/>
    <x v="1"/>
    <s v="Corporate"/>
    <s v="P003"/>
    <x v="13"/>
    <s v="Accessories"/>
    <n v="2"/>
    <n v="189"/>
    <x v="5"/>
    <s v="Cash"/>
    <n v="378"/>
    <m/>
    <m/>
  </r>
  <r>
    <s v="O00883"/>
    <n v="46103"/>
    <s v="C079"/>
    <x v="36"/>
    <x v="5"/>
    <s v="Retail"/>
    <s v="P012"/>
    <x v="14"/>
    <s v="Storage"/>
    <n v="1"/>
    <n v="480"/>
    <x v="0"/>
    <s v="Mobile Money"/>
    <n v="480"/>
    <m/>
    <m/>
  </r>
  <r>
    <s v="O00884"/>
    <n v="46169"/>
    <s v="C119"/>
    <x v="1"/>
    <x v="0"/>
    <s v="Retail"/>
    <s v="P015"/>
    <x v="4"/>
    <s v="Audio"/>
    <n v="1"/>
    <n v="420"/>
    <x v="4"/>
    <s v="Cash"/>
    <n v="420"/>
    <m/>
    <m/>
  </r>
  <r>
    <s v="O00885"/>
    <n v="46144"/>
    <s v="C040"/>
    <x v="8"/>
    <x v="3"/>
    <s v="Corporate"/>
    <s v="P015"/>
    <x v="4"/>
    <s v="Audio"/>
    <n v="1"/>
    <n v="420"/>
    <x v="3"/>
    <s v="Bank Transfer"/>
    <n v="420"/>
    <m/>
    <m/>
  </r>
  <r>
    <s v="O00886"/>
    <n v="46124"/>
    <s v="C117"/>
    <x v="28"/>
    <x v="2"/>
    <s v="SME"/>
    <s v="P012"/>
    <x v="14"/>
    <s v="Storage"/>
    <n v="1"/>
    <n v="480"/>
    <x v="2"/>
    <s v="Cash"/>
    <n v="480"/>
    <m/>
    <m/>
  </r>
  <r>
    <s v="O00887"/>
    <n v="46040"/>
    <s v="C063"/>
    <x v="27"/>
    <x v="3"/>
    <s v="SME"/>
    <s v="P001"/>
    <x v="11"/>
    <s v="Accessories"/>
    <n v="2"/>
    <n v="85"/>
    <x v="1"/>
    <s v="Cash"/>
    <n v="170"/>
    <m/>
    <m/>
  </r>
  <r>
    <s v="O00888"/>
    <n v="46096"/>
    <s v="C109"/>
    <x v="35"/>
    <x v="1"/>
    <s v="SME"/>
    <s v="P006"/>
    <x v="10"/>
    <s v="Accessories"/>
    <n v="4"/>
    <n v="168"/>
    <x v="5"/>
    <s v="Card"/>
    <n v="672"/>
    <m/>
    <m/>
  </r>
  <r>
    <s v="O00889"/>
    <n v="46127"/>
    <s v="C066"/>
    <x v="38"/>
    <x v="5"/>
    <s v="Retail"/>
    <s v="P004"/>
    <x v="3"/>
    <s v="Displays"/>
    <n v="4"/>
    <n v="1377.5"/>
    <x v="2"/>
    <s v="Mobile Money"/>
    <n v="5510"/>
    <m/>
    <m/>
  </r>
  <r>
    <s v="O00890"/>
    <n v="46160"/>
    <s v="C102"/>
    <x v="14"/>
    <x v="4"/>
    <s v="Corporate"/>
    <s v="P010"/>
    <x v="17"/>
    <s v="Storage"/>
    <n v="2"/>
    <n v="756"/>
    <x v="1"/>
    <s v="Card"/>
    <n v="1512"/>
    <m/>
    <m/>
  </r>
  <r>
    <s v="O00891"/>
    <n v="46164"/>
    <s v="C080"/>
    <x v="99"/>
    <x v="3"/>
    <s v="SME"/>
    <s v="P008"/>
    <x v="1"/>
    <s v="Computers"/>
    <n v="1"/>
    <n v="8200"/>
    <x v="1"/>
    <s v="Mobile Money"/>
    <n v="8200"/>
    <m/>
    <m/>
  </r>
  <r>
    <s v="O00892"/>
    <n v="46232"/>
    <s v="C044"/>
    <x v="86"/>
    <x v="2"/>
    <s v="Corporate"/>
    <s v="P007"/>
    <x v="5"/>
    <s v="Computers"/>
    <n v="3"/>
    <n v="5200"/>
    <x v="1"/>
    <s v="Bank Transfer"/>
    <n v="15600"/>
    <m/>
    <m/>
  </r>
  <r>
    <s v="O00893"/>
    <n v="46068"/>
    <s v="C070"/>
    <x v="69"/>
    <x v="1"/>
    <s v="Corporate"/>
    <s v="P008"/>
    <x v="1"/>
    <s v="Computers"/>
    <n v="3"/>
    <n v="7790"/>
    <x v="0"/>
    <s v="Cash"/>
    <n v="23370"/>
    <m/>
    <m/>
  </r>
  <r>
    <s v="O00894"/>
    <n v="46107"/>
    <s v="C015"/>
    <x v="7"/>
    <x v="0"/>
    <s v="Corporate"/>
    <s v="P015"/>
    <x v="4"/>
    <s v="Audio"/>
    <n v="2"/>
    <n v="420"/>
    <x v="3"/>
    <s v="Bank Transfer"/>
    <n v="840"/>
    <m/>
    <m/>
  </r>
  <r>
    <s v="O00895"/>
    <n v="46177"/>
    <s v="C052"/>
    <x v="13"/>
    <x v="5"/>
    <s v="Retail"/>
    <s v="P003"/>
    <x v="13"/>
    <s v="Accessories"/>
    <n v="1"/>
    <n v="189"/>
    <x v="1"/>
    <s v="Bank Transfer"/>
    <n v="189"/>
    <m/>
    <m/>
  </r>
  <r>
    <s v="O00897"/>
    <n v="46193"/>
    <s v="C097"/>
    <x v="37"/>
    <x v="3"/>
    <s v="Retail"/>
    <s v="P005"/>
    <x v="16"/>
    <s v="Displays"/>
    <n v="1"/>
    <n v="2310"/>
    <x v="2"/>
    <s v="Cash"/>
    <n v="2310"/>
    <m/>
    <m/>
  </r>
  <r>
    <s v="O00898"/>
    <n v="46074"/>
    <s v="C079"/>
    <x v="36"/>
    <x v="5"/>
    <s v="Retail"/>
    <s v="P015"/>
    <x v="4"/>
    <s v="Audio"/>
    <n v="1"/>
    <n v="420"/>
    <x v="2"/>
    <s v="Bank Transfer"/>
    <n v="420"/>
    <m/>
    <m/>
  </r>
  <r>
    <s v="O00899"/>
    <n v="46207"/>
    <s v="C118"/>
    <x v="51"/>
    <x v="0"/>
    <s v="SME"/>
    <s v="P014"/>
    <x v="8"/>
    <s v="Audio"/>
    <n v="10"/>
    <n v="650"/>
    <x v="4"/>
    <s v="Mobile Money"/>
    <n v="6500"/>
    <m/>
    <m/>
  </r>
  <r>
    <s v="O00900"/>
    <n v="46127"/>
    <s v="C079"/>
    <x v="36"/>
    <x v="5"/>
    <s v="Retail"/>
    <s v="P017"/>
    <x v="6"/>
    <s v="Networking"/>
    <n v="5"/>
    <n v="760"/>
    <x v="4"/>
    <s v="Bank Transfer"/>
    <n v="3800"/>
    <m/>
    <m/>
  </r>
  <r>
    <s v="O00901"/>
    <n v="46037"/>
    <s v="C116"/>
    <x v="59"/>
    <x v="3"/>
    <s v="SME"/>
    <s v="P018"/>
    <x v="0"/>
    <s v="Networking"/>
    <n v="1"/>
    <n v="99.75"/>
    <x v="2"/>
    <s v="Mobile Money"/>
    <n v="99.75"/>
    <m/>
    <m/>
  </r>
  <r>
    <s v="O00902"/>
    <n v="46245"/>
    <s v="C111"/>
    <x v="54"/>
    <x v="5"/>
    <s v="SME"/>
    <s v="P010"/>
    <x v="17"/>
    <s v="Storage"/>
    <n v="1"/>
    <n v="720"/>
    <x v="0"/>
    <s v="Cash"/>
    <n v="720"/>
    <m/>
    <m/>
  </r>
  <r>
    <s v="O00903"/>
    <n v="46206"/>
    <s v="C081"/>
    <x v="56"/>
    <x v="5"/>
    <s v="SME"/>
    <s v="P011"/>
    <x v="2"/>
    <s v="Storage"/>
    <n v="2"/>
    <n v="110"/>
    <x v="1"/>
    <s v="Card"/>
    <n v="220"/>
    <m/>
    <m/>
  </r>
  <r>
    <s v="O00904"/>
    <n v="46145"/>
    <s v="C085"/>
    <x v="5"/>
    <x v="1"/>
    <s v="SME"/>
    <s v="P006"/>
    <x v="10"/>
    <s v="Accessories"/>
    <n v="1"/>
    <n v="168"/>
    <x v="1"/>
    <s v="Bank Transfer"/>
    <n v="168"/>
    <m/>
    <m/>
  </r>
  <r>
    <s v="O00905"/>
    <n v="46063"/>
    <s v="C108"/>
    <x v="107"/>
    <x v="1"/>
    <s v="SME"/>
    <s v="P014"/>
    <x v="8"/>
    <s v="Audio"/>
    <n v="1"/>
    <n v="650"/>
    <x v="3"/>
    <s v="Mobile Money"/>
    <n v="650"/>
    <m/>
    <m/>
  </r>
  <r>
    <s v="O00906"/>
    <n v="46060"/>
    <s v="C010"/>
    <x v="47"/>
    <x v="0"/>
    <s v="Retail"/>
    <s v="P001"/>
    <x v="11"/>
    <s v="Accessories"/>
    <n v="3"/>
    <n v="85"/>
    <x v="0"/>
    <s v="Cash"/>
    <n v="255"/>
    <m/>
    <m/>
  </r>
  <r>
    <s v="O00907"/>
    <n v="46059"/>
    <s v="C018"/>
    <x v="19"/>
    <x v="0"/>
    <s v="Retail"/>
    <s v="P003"/>
    <x v="13"/>
    <s v="Accessories"/>
    <n v="3"/>
    <n v="180"/>
    <x v="1"/>
    <s v="Cash"/>
    <n v="540"/>
    <m/>
    <m/>
  </r>
  <r>
    <s v="O00908"/>
    <n v="46140"/>
    <s v="C080"/>
    <x v="99"/>
    <x v="3"/>
    <s v="SME"/>
    <s v="P006"/>
    <x v="10"/>
    <s v="Accessories"/>
    <n v="2"/>
    <n v="168"/>
    <x v="1"/>
    <s v="Cash"/>
    <n v="336"/>
    <m/>
    <m/>
  </r>
  <r>
    <s v="O00909"/>
    <n v="46071"/>
    <s v="C046"/>
    <x v="16"/>
    <x v="2"/>
    <s v="Retail"/>
    <s v="P008"/>
    <x v="1"/>
    <s v="Computers"/>
    <n v="2"/>
    <n v="7790"/>
    <x v="5"/>
    <s v="Cash"/>
    <n v="15580"/>
    <m/>
    <m/>
  </r>
  <r>
    <s v="O00910"/>
    <n v="46206"/>
    <s v="C109"/>
    <x v="35"/>
    <x v="1"/>
    <s v="SME"/>
    <s v="P008"/>
    <x v="1"/>
    <s v="Computers"/>
    <n v="2"/>
    <n v="8200"/>
    <x v="5"/>
    <s v="Bank Transfer"/>
    <n v="16400"/>
    <m/>
    <m/>
  </r>
  <r>
    <s v="O00911"/>
    <n v="46169"/>
    <s v="C005"/>
    <x v="20"/>
    <x v="2"/>
    <s v="Retail"/>
    <s v="P002"/>
    <x v="12"/>
    <s v="Accessories"/>
    <n v="2"/>
    <n v="240"/>
    <x v="4"/>
    <s v="Cash"/>
    <n v="480"/>
    <m/>
    <m/>
  </r>
  <r>
    <s v="O00912"/>
    <n v="46060"/>
    <s v="C089"/>
    <x v="2"/>
    <x v="3"/>
    <s v="Corporate"/>
    <s v="P003"/>
    <x v="13"/>
    <s v="Accessories"/>
    <n v="3"/>
    <n v="189"/>
    <x v="2"/>
    <s v="Cash"/>
    <n v="567"/>
    <m/>
    <m/>
  </r>
  <r>
    <s v="O00913"/>
    <n v="46157"/>
    <s v="C067"/>
    <x v="96"/>
    <x v="5"/>
    <s v="Retail"/>
    <s v="P003"/>
    <x v="13"/>
    <s v="Accessories"/>
    <n v="5"/>
    <n v="171"/>
    <x v="3"/>
    <s v="Cash"/>
    <n v="855"/>
    <m/>
    <m/>
  </r>
  <r>
    <s v="O00914"/>
    <n v="46199"/>
    <s v="C081"/>
    <x v="56"/>
    <x v="5"/>
    <s v="SME"/>
    <s v="P003"/>
    <x v="13"/>
    <s v="Accessories"/>
    <n v="3"/>
    <n v="189"/>
    <x v="2"/>
    <s v="Mobile Money"/>
    <n v="567"/>
    <m/>
    <m/>
  </r>
  <r>
    <s v="O00915"/>
    <n v="46160"/>
    <s v="C116"/>
    <x v="59"/>
    <x v="3"/>
    <s v="SME"/>
    <s v="P011"/>
    <x v="2"/>
    <s v="Storage"/>
    <n v="4"/>
    <n v="110"/>
    <x v="1"/>
    <s v="Cash"/>
    <n v="440"/>
    <m/>
    <m/>
  </r>
  <r>
    <s v="O00916"/>
    <n v="46131"/>
    <s v="C074"/>
    <x v="43"/>
    <x v="2"/>
    <s v="SME"/>
    <s v="P011"/>
    <x v="2"/>
    <s v="Storage"/>
    <n v="2"/>
    <n v="110"/>
    <x v="2"/>
    <s v="Card"/>
    <n v="220"/>
    <m/>
    <m/>
  </r>
  <r>
    <s v="O00917"/>
    <n v="46210"/>
    <s v="C005"/>
    <x v="20"/>
    <x v="2"/>
    <s v="Retail"/>
    <s v="P010"/>
    <x v="17"/>
    <s v="Storage"/>
    <n v="4"/>
    <n v="720"/>
    <x v="4"/>
    <s v="Cash"/>
    <n v="2880"/>
    <m/>
    <m/>
  </r>
  <r>
    <s v="O00918"/>
    <n v="46170"/>
    <s v="C075"/>
    <x v="90"/>
    <x v="3"/>
    <s v="SME"/>
    <s v="P006"/>
    <x v="10"/>
    <s v="Accessories"/>
    <n v="1"/>
    <n v="160"/>
    <x v="0"/>
    <s v="Mobile Money"/>
    <n v="160"/>
    <m/>
    <m/>
  </r>
  <r>
    <s v="O00919"/>
    <n v="46045"/>
    <s v="C037"/>
    <x v="76"/>
    <x v="1"/>
    <s v="SME"/>
    <s v="P016"/>
    <x v="15"/>
    <s v="Networking"/>
    <n v="1"/>
    <n v="560.5"/>
    <x v="2"/>
    <s v="Bank Transfer"/>
    <n v="560.5"/>
    <m/>
    <m/>
  </r>
  <r>
    <s v="O00920"/>
    <n v="46094"/>
    <s v="C017"/>
    <x v="48"/>
    <x v="3"/>
    <s v="Retail"/>
    <s v="P009"/>
    <x v="7"/>
    <s v="Computers"/>
    <n v="5"/>
    <n v="2945"/>
    <x v="0"/>
    <s v="Mobile Money"/>
    <n v="14725"/>
    <m/>
    <m/>
  </r>
  <r>
    <s v="O00921"/>
    <n v="46256"/>
    <s v="C078"/>
    <x v="49"/>
    <x v="5"/>
    <s v="SME"/>
    <s v="P006"/>
    <x v="10"/>
    <s v="Accessories"/>
    <n v="3"/>
    <n v="160"/>
    <x v="0"/>
    <s v="Cash"/>
    <n v="480"/>
    <m/>
    <m/>
  </r>
  <r>
    <s v="O00922"/>
    <n v="46090"/>
    <s v="C048"/>
    <x v="94"/>
    <x v="3"/>
    <s v="Corporate"/>
    <s v="P006"/>
    <x v="10"/>
    <s v="Accessories"/>
    <n v="4"/>
    <n v="160"/>
    <x v="1"/>
    <s v="Card"/>
    <n v="640"/>
    <m/>
    <m/>
  </r>
  <r>
    <s v="O00923"/>
    <n v="46244"/>
    <s v="C103"/>
    <x v="64"/>
    <x v="1"/>
    <s v="Corporate"/>
    <s v="P017"/>
    <x v="6"/>
    <s v="Networking"/>
    <n v="1"/>
    <n v="722"/>
    <x v="3"/>
    <s v="Card"/>
    <n v="722"/>
    <m/>
    <m/>
  </r>
  <r>
    <s v="O00924"/>
    <n v="46216"/>
    <s v="C108"/>
    <x v="21"/>
    <x v="1"/>
    <s v="SME"/>
    <s v="P016"/>
    <x v="15"/>
    <s v="Networking"/>
    <n v="10"/>
    <n v="590"/>
    <x v="3"/>
    <s v="Cash"/>
    <n v="5900"/>
    <m/>
    <m/>
  </r>
  <r>
    <s v="O00925"/>
    <n v="46077"/>
    <s v="C093"/>
    <x v="38"/>
    <x v="4"/>
    <s v="SME"/>
    <s v="P006"/>
    <x v="10"/>
    <s v="Accessories"/>
    <n v="2"/>
    <n v="160"/>
    <x v="4"/>
    <s v="Bank Transfer"/>
    <n v="320"/>
    <m/>
    <m/>
  </r>
  <r>
    <s v="O00926"/>
    <n v="46037"/>
    <s v="C097"/>
    <x v="37"/>
    <x v="3"/>
    <s v="Retail"/>
    <s v="P004"/>
    <x v="3"/>
    <s v="Displays"/>
    <n v="1"/>
    <n v="1450"/>
    <x v="1"/>
    <s v="Bank Transfer"/>
    <n v="1450"/>
    <m/>
    <m/>
  </r>
  <r>
    <s v="O00927"/>
    <n v="46083"/>
    <s v="C061"/>
    <x v="24"/>
    <x v="2"/>
    <s v="Retail"/>
    <s v="P018"/>
    <x v="0"/>
    <s v="Networking"/>
    <n v="2"/>
    <n v="95"/>
    <x v="1"/>
    <s v="Bank Transfer"/>
    <n v="190"/>
    <m/>
    <m/>
  </r>
  <r>
    <s v="O00928"/>
    <n v="46246"/>
    <s v="C019"/>
    <x v="18"/>
    <x v="3"/>
    <s v="SME"/>
    <s v="P017"/>
    <x v="6"/>
    <s v="Networking"/>
    <n v="2"/>
    <n v="760"/>
    <x v="1"/>
    <s v="Cash"/>
    <n v="1520"/>
    <m/>
    <m/>
  </r>
  <r>
    <s v="O00929"/>
    <n v="46159"/>
    <s v="C087"/>
    <x v="67"/>
    <x v="4"/>
    <s v="Retail"/>
    <s v="P011"/>
    <x v="2"/>
    <s v="Storage"/>
    <n v="3"/>
    <n v="104.5"/>
    <x v="4"/>
    <s v="Bank Transfer"/>
    <n v="313.5"/>
    <m/>
    <m/>
  </r>
  <r>
    <s v="O00930"/>
    <n v="46180"/>
    <s v="C109"/>
    <x v="35"/>
    <x v="1"/>
    <s v="SME"/>
    <s v="P014"/>
    <x v="8"/>
    <s v="Audio"/>
    <n v="6"/>
    <n v="650"/>
    <x v="2"/>
    <s v="Bank Transfer"/>
    <n v="3900"/>
    <m/>
    <m/>
  </r>
  <r>
    <s v="O00931"/>
    <n v="46089"/>
    <s v="C035"/>
    <x v="59"/>
    <x v="5"/>
    <s v="Retail"/>
    <s v="P004"/>
    <x v="3"/>
    <s v="Displays"/>
    <n v="3"/>
    <n v="1450"/>
    <x v="1"/>
    <s v="Card"/>
    <n v="4350"/>
    <m/>
    <m/>
  </r>
  <r>
    <s v="O00932"/>
    <n v="46157"/>
    <s v="C094"/>
    <x v="63"/>
    <x v="1"/>
    <s v="Corporate"/>
    <s v="P007"/>
    <x v="5"/>
    <s v="Computers"/>
    <n v="1"/>
    <n v="5200"/>
    <x v="2"/>
    <s v="Mobile Money"/>
    <n v="5200"/>
    <m/>
    <m/>
  </r>
  <r>
    <s v="O00933"/>
    <n v="46236"/>
    <s v="C087"/>
    <x v="67"/>
    <x v="4"/>
    <s v="Retail"/>
    <s v="P001"/>
    <x v="11"/>
    <s v="Accessories"/>
    <n v="1"/>
    <n v="85"/>
    <x v="4"/>
    <s v="Mobile Money"/>
    <n v="85"/>
    <m/>
    <m/>
  </r>
  <r>
    <s v="O00934"/>
    <n v="46113"/>
    <s v="C088"/>
    <x v="75"/>
    <x v="3"/>
    <s v="Retail"/>
    <s v="P015"/>
    <x v="4"/>
    <s v="Audio"/>
    <n v="1"/>
    <n v="420"/>
    <x v="2"/>
    <s v="Card"/>
    <n v="420"/>
    <m/>
    <m/>
  </r>
  <r>
    <s v="O00935"/>
    <n v="46182"/>
    <s v="C005"/>
    <x v="20"/>
    <x v="2"/>
    <s v="Retail"/>
    <s v="P001"/>
    <x v="11"/>
    <s v="Accessories"/>
    <n v="1"/>
    <n v="89.25"/>
    <x v="0"/>
    <s v="Card"/>
    <n v="89.25"/>
    <m/>
    <m/>
  </r>
  <r>
    <s v="O00936"/>
    <n v="46205"/>
    <s v="C077"/>
    <x v="8"/>
    <x v="3"/>
    <s v="Retail"/>
    <s v="P004"/>
    <x v="3"/>
    <s v="Displays"/>
    <n v="8"/>
    <n v="1377.5"/>
    <x v="5"/>
    <s v="Card"/>
    <n v="11020"/>
    <m/>
    <m/>
  </r>
  <r>
    <s v="O00937"/>
    <n v="46253"/>
    <s v="C049"/>
    <x v="60"/>
    <x v="3"/>
    <s v="Retail"/>
    <s v="P006"/>
    <x v="10"/>
    <s v="Accessories"/>
    <n v="1"/>
    <n v="160"/>
    <x v="2"/>
    <s v="Bank Transfer"/>
    <n v="160"/>
    <m/>
    <m/>
  </r>
  <r>
    <s v="O00938"/>
    <n v="46187"/>
    <s v="C060"/>
    <x v="53"/>
    <x v="4"/>
    <s v="Corporate"/>
    <s v="P003"/>
    <x v="13"/>
    <s v="Accessories"/>
    <n v="2"/>
    <n v="180"/>
    <x v="1"/>
    <s v="Bank Transfer"/>
    <n v="360"/>
    <m/>
    <m/>
  </r>
  <r>
    <s v="O00939"/>
    <n v="46223"/>
    <s v="C033"/>
    <x v="30"/>
    <x v="4"/>
    <s v="SME"/>
    <s v="P006"/>
    <x v="10"/>
    <s v="Accessories"/>
    <n v="1"/>
    <n v="152"/>
    <x v="1"/>
    <s v="Cash"/>
    <n v="152"/>
    <m/>
    <m/>
  </r>
  <r>
    <s v="O00940"/>
    <n v="46090"/>
    <s v="C043"/>
    <x v="88"/>
    <x v="3"/>
    <s v="Corporate"/>
    <s v="P002"/>
    <x v="12"/>
    <s v="Accessories"/>
    <n v="8"/>
    <n v="240"/>
    <x v="3"/>
    <s v="Cash"/>
    <n v="1920"/>
    <m/>
    <m/>
  </r>
  <r>
    <s v="O00941"/>
    <n v="46075"/>
    <s v="C009"/>
    <x v="73"/>
    <x v="3"/>
    <s v="Retail"/>
    <s v="P016"/>
    <x v="15"/>
    <s v="Networking"/>
    <n v="3"/>
    <n v="590"/>
    <x v="0"/>
    <s v="Cash"/>
    <n v="1770"/>
    <m/>
    <m/>
  </r>
  <r>
    <s v="O00942"/>
    <n v="46162"/>
    <s v="C014"/>
    <x v="93"/>
    <x v="3"/>
    <s v="SME"/>
    <s v="P005"/>
    <x v="16"/>
    <s v="Displays"/>
    <n v="4"/>
    <n v="2200"/>
    <x v="5"/>
    <s v="Mobile Money"/>
    <n v="8800"/>
    <m/>
    <m/>
  </r>
  <r>
    <s v="O00943"/>
    <n v="46207"/>
    <s v="C117"/>
    <x v="28"/>
    <x v="2"/>
    <s v="SME"/>
    <s v="P015"/>
    <x v="4"/>
    <s v="Audio"/>
    <n v="1"/>
    <n v="399"/>
    <x v="4"/>
    <s v="Mobile Money"/>
    <n v="399"/>
    <m/>
    <m/>
  </r>
  <r>
    <s v="O00944"/>
    <n v="46222"/>
    <s v="C074"/>
    <x v="43"/>
    <x v="2"/>
    <s v="SME"/>
    <s v="P009"/>
    <x v="7"/>
    <s v="Computers"/>
    <n v="2"/>
    <n v="3100"/>
    <x v="3"/>
    <s v="Mobile Money"/>
    <n v="6200"/>
    <m/>
    <m/>
  </r>
  <r>
    <s v="O00945"/>
    <n v="46194"/>
    <s v="C120"/>
    <x v="91"/>
    <x v="3"/>
    <s v="SME"/>
    <s v="P002"/>
    <x v="12"/>
    <s v="Accessories"/>
    <n v="2"/>
    <n v="240"/>
    <x v="0"/>
    <s v="Bank Transfer"/>
    <n v="480"/>
    <m/>
    <m/>
  </r>
  <r>
    <s v="O00946"/>
    <n v="46171"/>
    <s v="C116"/>
    <x v="59"/>
    <x v="3"/>
    <s v="SME"/>
    <s v="P013"/>
    <x v="9"/>
    <s v="Accessories"/>
    <n v="1"/>
    <n v="320"/>
    <x v="1"/>
    <s v="Cash"/>
    <n v="320"/>
    <m/>
    <m/>
  </r>
  <r>
    <s v="O00947"/>
    <n v="46162"/>
    <s v="C052"/>
    <x v="13"/>
    <x v="5"/>
    <s v="Retail"/>
    <s v="P003"/>
    <x v="13"/>
    <s v="Accessories"/>
    <n v="1"/>
    <n v="180"/>
    <x v="0"/>
    <s v="Cash"/>
    <n v="180"/>
    <m/>
    <m/>
  </r>
  <r>
    <s v="O00948"/>
    <n v="46115"/>
    <s v="C016"/>
    <x v="83"/>
    <x v="0"/>
    <s v="Corporate"/>
    <s v="P018"/>
    <x v="0"/>
    <s v="Networking"/>
    <n v="1"/>
    <n v="95"/>
    <x v="1"/>
    <s v="Mobile Money"/>
    <n v="95"/>
    <m/>
    <m/>
  </r>
  <r>
    <s v="O00949"/>
    <n v="46117"/>
    <s v="C081"/>
    <x v="56"/>
    <x v="5"/>
    <s v="SME"/>
    <s v="P003"/>
    <x v="13"/>
    <s v="Accessories"/>
    <n v="2"/>
    <n v="180"/>
    <x v="4"/>
    <s v="Cash"/>
    <n v="360"/>
    <m/>
    <m/>
  </r>
  <r>
    <s v="O00950"/>
    <n v="46189"/>
    <s v="C098"/>
    <x v="50"/>
    <x v="4"/>
    <s v="Retail"/>
    <s v="P010"/>
    <x v="17"/>
    <s v="Storage"/>
    <n v="1"/>
    <n v="756"/>
    <x v="4"/>
    <s v="Cash"/>
    <n v="756"/>
    <m/>
    <m/>
  </r>
  <r>
    <s v="O00951"/>
    <n v="46100"/>
    <s v="C085"/>
    <x v="5"/>
    <x v="1"/>
    <s v="SME"/>
    <s v="P007"/>
    <x v="5"/>
    <s v="Computers"/>
    <n v="3"/>
    <n v="4940"/>
    <x v="0"/>
    <s v="Bank Transfer"/>
    <n v="14820"/>
    <m/>
    <m/>
  </r>
  <r>
    <s v="O00952"/>
    <n v="46250"/>
    <s v="C063"/>
    <x v="27"/>
    <x v="3"/>
    <s v="SME"/>
    <s v="P003"/>
    <x v="13"/>
    <s v="Accessories"/>
    <n v="3"/>
    <n v="180"/>
    <x v="3"/>
    <s v="Mobile Money"/>
    <n v="540"/>
    <m/>
    <m/>
  </r>
  <r>
    <s v="O00953"/>
    <n v="46208"/>
    <s v="C025"/>
    <x v="40"/>
    <x v="0"/>
    <s v="Corporate"/>
    <s v="P001"/>
    <x v="11"/>
    <s v="Accessories"/>
    <n v="10"/>
    <n v="85"/>
    <x v="1"/>
    <s v="Cash"/>
    <n v="850"/>
    <m/>
    <m/>
  </r>
  <r>
    <s v="O00954"/>
    <n v="46188"/>
    <s v="C009"/>
    <x v="73"/>
    <x v="3"/>
    <s v="Retail"/>
    <s v="P018"/>
    <x v="0"/>
    <s v="Networking"/>
    <n v="1"/>
    <n v="99.75"/>
    <x v="1"/>
    <s v="Mobile Money"/>
    <n v="99.75"/>
    <m/>
    <m/>
  </r>
  <r>
    <s v="O00955"/>
    <n v="46038"/>
    <s v="C005"/>
    <x v="20"/>
    <x v="2"/>
    <s v="Retail"/>
    <s v="P011"/>
    <x v="2"/>
    <s v="Storage"/>
    <n v="1"/>
    <n v="110"/>
    <x v="1"/>
    <s v="Mobile Money"/>
    <n v="110"/>
    <m/>
    <m/>
  </r>
  <r>
    <s v="O00956"/>
    <n v="46141"/>
    <s v="C028"/>
    <x v="68"/>
    <x v="3"/>
    <s v="Retail"/>
    <s v="P017"/>
    <x v="6"/>
    <s v="Networking"/>
    <n v="6"/>
    <n v="798"/>
    <x v="3"/>
    <s v="Card"/>
    <n v="4788"/>
    <m/>
    <m/>
  </r>
  <r>
    <s v="O00957"/>
    <n v="46033"/>
    <s v="C119"/>
    <x v="1"/>
    <x v="0"/>
    <s v="Retail"/>
    <s v="P003"/>
    <x v="13"/>
    <s v="Accessories"/>
    <n v="3"/>
    <n v="180"/>
    <x v="0"/>
    <s v="Mobile Money"/>
    <n v="540"/>
    <m/>
    <m/>
  </r>
  <r>
    <s v="O00958"/>
    <n v="46086"/>
    <s v="C061"/>
    <x v="24"/>
    <x v="2"/>
    <s v="Retail"/>
    <s v="P002"/>
    <x v="12"/>
    <s v="Accessories"/>
    <n v="3"/>
    <n v="240"/>
    <x v="4"/>
    <s v="Card"/>
    <n v="720"/>
    <m/>
    <m/>
  </r>
  <r>
    <s v="O00959"/>
    <n v="46255"/>
    <s v="C081"/>
    <x v="56"/>
    <x v="5"/>
    <s v="SME"/>
    <s v="P002"/>
    <x v="12"/>
    <s v="Accessories"/>
    <n v="1"/>
    <n v="228"/>
    <x v="1"/>
    <s v="Card"/>
    <n v="228"/>
    <m/>
    <m/>
  </r>
  <r>
    <s v="O00960"/>
    <n v="46233"/>
    <s v="C107"/>
    <x v="61"/>
    <x v="0"/>
    <s v="SME"/>
    <s v="P003"/>
    <x v="13"/>
    <s v="Accessories"/>
    <n v="4"/>
    <n v="171"/>
    <x v="1"/>
    <s v="Card"/>
    <n v="684"/>
    <m/>
    <m/>
  </r>
  <r>
    <s v="O00961"/>
    <n v="46133"/>
    <s v="C009"/>
    <x v="73"/>
    <x v="3"/>
    <s v="Retail"/>
    <s v="P007"/>
    <x v="5"/>
    <s v="Computers"/>
    <n v="1"/>
    <n v="5200"/>
    <x v="2"/>
    <s v="Mobile Money"/>
    <n v="5200"/>
    <m/>
    <m/>
  </r>
  <r>
    <s v="O00962"/>
    <n v="46059"/>
    <s v="C088"/>
    <x v="75"/>
    <x v="3"/>
    <s v="Retail"/>
    <s v="P018"/>
    <x v="0"/>
    <s v="Networking"/>
    <n v="1"/>
    <n v="95"/>
    <x v="4"/>
    <s v="Card"/>
    <n v="95"/>
    <m/>
    <m/>
  </r>
  <r>
    <s v="O00963"/>
    <n v="46054"/>
    <s v="C043"/>
    <x v="88"/>
    <x v="3"/>
    <s v="Corporate"/>
    <s v="P003"/>
    <x v="13"/>
    <s v="Accessories"/>
    <n v="1"/>
    <n v="180"/>
    <x v="3"/>
    <s v="Bank Transfer"/>
    <n v="180"/>
    <m/>
    <m/>
  </r>
  <r>
    <s v="O00964"/>
    <n v="46136"/>
    <s v="C071"/>
    <x v="108"/>
    <x v="5"/>
    <s v="Corporate"/>
    <s v="P006"/>
    <x v="10"/>
    <s v="Accessories"/>
    <n v="1"/>
    <n v="168"/>
    <x v="4"/>
    <s v="Card"/>
    <n v="168"/>
    <m/>
    <m/>
  </r>
  <r>
    <s v="O00965"/>
    <n v="46223"/>
    <s v="C013"/>
    <x v="41"/>
    <x v="0"/>
    <s v="Retail"/>
    <s v="P013"/>
    <x v="9"/>
    <s v="Accessories"/>
    <n v="1"/>
    <n v="320"/>
    <x v="4"/>
    <s v="Mobile Money"/>
    <n v="320"/>
    <m/>
    <m/>
  </r>
  <r>
    <s v="O00966"/>
    <n v="46046"/>
    <s v="C001"/>
    <x v="46"/>
    <x v="1"/>
    <s v="SME"/>
    <s v="P006"/>
    <x v="10"/>
    <s v="Accessories"/>
    <n v="3"/>
    <n v="168"/>
    <x v="2"/>
    <s v="Cash"/>
    <n v="504"/>
    <m/>
    <m/>
  </r>
  <r>
    <s v="O00967"/>
    <n v="46201"/>
    <s v="C089"/>
    <x v="2"/>
    <x v="3"/>
    <s v="Corporate"/>
    <s v="P016"/>
    <x v="15"/>
    <s v="Networking"/>
    <n v="1"/>
    <n v="590"/>
    <x v="0"/>
    <s v="Bank Transfer"/>
    <n v="590"/>
    <m/>
    <m/>
  </r>
  <r>
    <s v="O00968"/>
    <n v="46129"/>
    <s v="C067"/>
    <x v="96"/>
    <x v="5"/>
    <s v="Retail"/>
    <s v="P015"/>
    <x v="4"/>
    <s v="Audio"/>
    <n v="1"/>
    <n v="420"/>
    <x v="5"/>
    <s v="Mobile Money"/>
    <n v="420"/>
    <m/>
    <m/>
  </r>
  <r>
    <s v="O00969"/>
    <n v="46207"/>
    <s v="C077"/>
    <x v="109"/>
    <x v="3"/>
    <s v="Retail"/>
    <s v="P006"/>
    <x v="10"/>
    <s v="Accessories"/>
    <n v="2"/>
    <n v="152"/>
    <x v="0"/>
    <s v="Bank Transfer"/>
    <n v="304"/>
    <m/>
    <m/>
  </r>
  <r>
    <s v="O00970"/>
    <n v="46025"/>
    <s v="C045"/>
    <x v="84"/>
    <x v="1"/>
    <s v="SME"/>
    <s v="P014"/>
    <x v="8"/>
    <s v="Audio"/>
    <n v="2"/>
    <n v="650"/>
    <x v="4"/>
    <s v="Mobile Money"/>
    <n v="1300"/>
    <m/>
    <m/>
  </r>
  <r>
    <s v="O00971"/>
    <n v="46244"/>
    <s v="C080"/>
    <x v="99"/>
    <x v="3"/>
    <s v="SME"/>
    <s v="P012"/>
    <x v="14"/>
    <s v="Storage"/>
    <n v="4"/>
    <n v="504"/>
    <x v="5"/>
    <s v="Card"/>
    <n v="2016"/>
    <m/>
    <m/>
  </r>
  <r>
    <s v="O00972"/>
    <n v="46094"/>
    <s v="C060"/>
    <x v="53"/>
    <x v="4"/>
    <s v="Corporate"/>
    <s v="P007"/>
    <x v="5"/>
    <s v="Computers"/>
    <n v="1"/>
    <n v="4940"/>
    <x v="3"/>
    <s v="Cash"/>
    <n v="4940"/>
    <m/>
    <m/>
  </r>
  <r>
    <s v="O00973"/>
    <n v="46064"/>
    <s v="C064"/>
    <x v="7"/>
    <x v="2"/>
    <s v="SME"/>
    <s v="P006"/>
    <x v="10"/>
    <s v="Accessories"/>
    <n v="3"/>
    <n v="152"/>
    <x v="4"/>
    <s v="Bank Transfer"/>
    <n v="456"/>
    <m/>
    <m/>
  </r>
  <r>
    <s v="O00974"/>
    <n v="46135"/>
    <s v="C037"/>
    <x v="76"/>
    <x v="1"/>
    <s v="SME"/>
    <s v="P007"/>
    <x v="5"/>
    <s v="Computers"/>
    <n v="1"/>
    <n v="5460"/>
    <x v="1"/>
    <s v="Mobile Money"/>
    <n v="5460"/>
    <m/>
    <m/>
  </r>
  <r>
    <s v="O00976"/>
    <n v="46208"/>
    <s v="C010"/>
    <x v="47"/>
    <x v="0"/>
    <s v="Retail"/>
    <s v="P008"/>
    <x v="1"/>
    <s v="Computers"/>
    <n v="2"/>
    <n v="8610"/>
    <x v="2"/>
    <s v="Cash"/>
    <n v="17220"/>
    <m/>
    <m/>
  </r>
  <r>
    <s v="O00977"/>
    <n v="46082"/>
    <s v="C026"/>
    <x v="32"/>
    <x v="1"/>
    <s v="SME"/>
    <s v="P011"/>
    <x v="2"/>
    <s v="Storage"/>
    <n v="4"/>
    <n v="110"/>
    <x v="3"/>
    <s v="Mobile Money"/>
    <n v="440"/>
    <m/>
    <m/>
  </r>
  <r>
    <s v="O00978"/>
    <n v="46246"/>
    <s v="C031"/>
    <x v="79"/>
    <x v="0"/>
    <s v="Retail"/>
    <s v="P014"/>
    <x v="8"/>
    <s v="Audio"/>
    <n v="1"/>
    <n v="650"/>
    <x v="4"/>
    <s v="Cash"/>
    <n v="650"/>
    <m/>
    <m/>
  </r>
  <r>
    <s v="O00979"/>
    <n v="46037"/>
    <s v="C075"/>
    <x v="90"/>
    <x v="3"/>
    <s v="SME"/>
    <s v="P016"/>
    <x v="15"/>
    <s v="Networking"/>
    <n v="5"/>
    <n v="590"/>
    <x v="3"/>
    <s v="Cash"/>
    <n v="2950"/>
    <m/>
    <m/>
  </r>
  <r>
    <s v="O00980"/>
    <n v="46119"/>
    <s v="C023"/>
    <x v="2"/>
    <x v="1"/>
    <s v="Unknown"/>
    <s v="P013"/>
    <x v="9"/>
    <s v="Accessories"/>
    <n v="1"/>
    <n v="320"/>
    <x v="0"/>
    <s v="Bank Transfer"/>
    <n v="320"/>
    <m/>
    <m/>
  </r>
  <r>
    <s v="O00981"/>
    <n v="46109"/>
    <s v="C035"/>
    <x v="59"/>
    <x v="5"/>
    <s v="Retail"/>
    <s v="P007"/>
    <x v="5"/>
    <s v="Computers"/>
    <n v="1"/>
    <n v="5460"/>
    <x v="4"/>
    <s v="Bank Transfer"/>
    <n v="5460"/>
    <m/>
    <m/>
  </r>
  <r>
    <s v="O00982"/>
    <n v="46242"/>
    <s v="C018"/>
    <x v="19"/>
    <x v="0"/>
    <s v="Retail"/>
    <s v="P004"/>
    <x v="3"/>
    <s v="Displays"/>
    <n v="2"/>
    <n v="1450"/>
    <x v="3"/>
    <s v="Bank Transfer"/>
    <n v="2900"/>
    <m/>
    <m/>
  </r>
  <r>
    <s v="O00983"/>
    <n v="46178"/>
    <s v="C029"/>
    <x v="31"/>
    <x v="1"/>
    <s v="SME"/>
    <s v="P010"/>
    <x v="17"/>
    <s v="Storage"/>
    <n v="1"/>
    <n v="756"/>
    <x v="3"/>
    <s v="Card"/>
    <n v="756"/>
    <m/>
    <m/>
  </r>
  <r>
    <s v="O00984"/>
    <n v="46243"/>
    <s v="C012"/>
    <x v="15"/>
    <x v="3"/>
    <s v="SME"/>
    <s v="P014"/>
    <x v="8"/>
    <s v="Audio"/>
    <n v="2"/>
    <n v="650"/>
    <x v="5"/>
    <s v="Cash"/>
    <n v="1300"/>
    <m/>
    <m/>
  </r>
  <r>
    <s v="O00985"/>
    <n v="46095"/>
    <s v="C108"/>
    <x v="21"/>
    <x v="1"/>
    <s v="SME"/>
    <s v="P015"/>
    <x v="4"/>
    <s v="Audio"/>
    <n v="1"/>
    <n v="420"/>
    <x v="0"/>
    <s v="Card"/>
    <n v="420"/>
    <m/>
    <m/>
  </r>
  <r>
    <s v="O00986"/>
    <n v="46135"/>
    <s v="C032"/>
    <x v="44"/>
    <x v="4"/>
    <s v="Corporate"/>
    <s v="P011"/>
    <x v="2"/>
    <s v="Storage"/>
    <n v="2"/>
    <n v="115.5"/>
    <x v="3"/>
    <s v="Mobile Money"/>
    <n v="231"/>
    <m/>
    <m/>
  </r>
  <r>
    <s v="O00987"/>
    <n v="46034"/>
    <s v="C054"/>
    <x v="25"/>
    <x v="2"/>
    <s v="SME"/>
    <s v="P002"/>
    <x v="12"/>
    <s v="Accessories"/>
    <n v="10"/>
    <n v="252"/>
    <x v="4"/>
    <s v="Cash"/>
    <n v="2520"/>
    <m/>
    <m/>
  </r>
  <r>
    <s v="O00988"/>
    <n v="46146"/>
    <s v="C068"/>
    <x v="57"/>
    <x v="1"/>
    <s v="SME"/>
    <s v="P013"/>
    <x v="9"/>
    <s v="Accessories"/>
    <n v="4"/>
    <n v="304"/>
    <x v="1"/>
    <s v="Cash"/>
    <n v="1216"/>
    <m/>
    <m/>
  </r>
  <r>
    <s v="O00989"/>
    <n v="46166"/>
    <s v="C031"/>
    <x v="79"/>
    <x v="0"/>
    <s v="Retail"/>
    <s v="P003"/>
    <x v="13"/>
    <s v="Accessories"/>
    <n v="4"/>
    <n v="180"/>
    <x v="3"/>
    <s v="Card"/>
    <n v="720"/>
    <m/>
    <m/>
  </r>
  <r>
    <s v="O00990"/>
    <n v="46085"/>
    <s v="C046"/>
    <x v="16"/>
    <x v="2"/>
    <s v="Retail"/>
    <s v="P010"/>
    <x v="17"/>
    <s v="Storage"/>
    <n v="3"/>
    <n v="684"/>
    <x v="4"/>
    <s v="Cash"/>
    <n v="2052"/>
    <m/>
    <m/>
  </r>
  <r>
    <s v="O00991"/>
    <n v="46065"/>
    <s v="C086"/>
    <x v="12"/>
    <x v="4"/>
    <s v="SME"/>
    <s v="P010"/>
    <x v="17"/>
    <s v="Storage"/>
    <n v="3"/>
    <n v="756"/>
    <x v="0"/>
    <s v="Mobile Money"/>
    <n v="2268"/>
    <m/>
    <m/>
  </r>
  <r>
    <s v="O00992"/>
    <n v="46221"/>
    <s v="C059"/>
    <x v="29"/>
    <x v="2"/>
    <s v="Retail"/>
    <s v="P015"/>
    <x v="4"/>
    <s v="Audio"/>
    <n v="1"/>
    <n v="420"/>
    <x v="3"/>
    <s v="Bank Transfer"/>
    <n v="420"/>
    <m/>
    <m/>
  </r>
  <r>
    <s v="O00993"/>
    <n v="46204"/>
    <s v="C081"/>
    <x v="56"/>
    <x v="5"/>
    <s v="SME"/>
    <s v="P015"/>
    <x v="4"/>
    <s v="Audio"/>
    <n v="3"/>
    <n v="420"/>
    <x v="1"/>
    <s v="Bank Transfer"/>
    <n v="1260"/>
    <m/>
    <m/>
  </r>
  <r>
    <s v="O00994"/>
    <n v="46099"/>
    <s v="C068"/>
    <x v="57"/>
    <x v="1"/>
    <s v="SME"/>
    <s v="P002"/>
    <x v="12"/>
    <s v="Accessories"/>
    <n v="2"/>
    <n v="240"/>
    <x v="0"/>
    <s v="Card"/>
    <n v="480"/>
    <m/>
    <m/>
  </r>
  <r>
    <s v="O00995"/>
    <n v="46182"/>
    <s v="C101"/>
    <x v="3"/>
    <x v="0"/>
    <s v="Retail"/>
    <s v="P003"/>
    <x v="13"/>
    <s v="Accessories"/>
    <n v="5"/>
    <n v="171"/>
    <x v="5"/>
    <s v="Bank Transfer"/>
    <n v="855"/>
    <m/>
    <m/>
  </r>
  <r>
    <s v="O00996"/>
    <n v="46052"/>
    <s v="C114"/>
    <x v="17"/>
    <x v="5"/>
    <s v="Corporate"/>
    <s v="P002"/>
    <x v="12"/>
    <s v="Accessories"/>
    <n v="2"/>
    <n v="240"/>
    <x v="5"/>
    <s v="Mobile Money"/>
    <n v="480"/>
    <m/>
    <m/>
  </r>
  <r>
    <s v="O00997"/>
    <n v="46068"/>
    <s v="C047"/>
    <x v="10"/>
    <x v="2"/>
    <s v="Corporate"/>
    <s v="P012"/>
    <x v="14"/>
    <s v="Storage"/>
    <n v="3"/>
    <n v="456"/>
    <x v="5"/>
    <s v="Card"/>
    <n v="1368"/>
    <m/>
    <m/>
  </r>
  <r>
    <s v="O00998"/>
    <n v="46085"/>
    <s v="C018"/>
    <x v="19"/>
    <x v="0"/>
    <s v="Retail"/>
    <s v="P011"/>
    <x v="2"/>
    <s v="Storage"/>
    <n v="2"/>
    <n v="110"/>
    <x v="0"/>
    <s v="Card"/>
    <n v="220"/>
    <m/>
    <m/>
  </r>
  <r>
    <s v="O00999"/>
    <n v="46106"/>
    <s v="C097"/>
    <x v="37"/>
    <x v="3"/>
    <s v="Retail"/>
    <s v="P008"/>
    <x v="1"/>
    <s v="Computers"/>
    <n v="2"/>
    <n v="8200"/>
    <x v="5"/>
    <s v="Cash"/>
    <n v="16400"/>
    <m/>
    <m/>
  </r>
  <r>
    <s v="O01000"/>
    <n v="46040"/>
    <s v="C036"/>
    <x v="22"/>
    <x v="3"/>
    <s v="Retail"/>
    <s v="P002"/>
    <x v="12"/>
    <s v="Accessories"/>
    <n v="2"/>
    <n v="240"/>
    <x v="1"/>
    <s v="Mobile Money"/>
    <n v="48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2EF87-0DB7-49A8-A7B4-A054AFD854AE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Top 5 products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9">
        <item x="3"/>
        <item x="16"/>
        <item x="4"/>
        <item x="0"/>
        <item x="14"/>
        <item x="17"/>
        <item x="2"/>
        <item x="10"/>
        <item x="12"/>
        <item x="6"/>
        <item x="8"/>
        <item x="5"/>
        <item x="1"/>
        <item x="7"/>
        <item x="13"/>
        <item x="9"/>
        <item x="1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6">
    <i>
      <x v="12"/>
    </i>
    <i>
      <x v="11"/>
    </i>
    <i>
      <x v="1"/>
    </i>
    <i>
      <x v="13"/>
    </i>
    <i>
      <x/>
    </i>
    <i t="grand">
      <x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D161D-2F32-444C-8489-A671DF94485C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">
  <location ref="A3:B10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7">
        <item x="2"/>
        <item x="5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 v="3"/>
    </i>
    <i>
      <x v="5"/>
    </i>
    <i>
      <x v="4"/>
    </i>
    <i>
      <x v="2"/>
    </i>
    <i>
      <x v="1"/>
    </i>
    <i>
      <x/>
    </i>
    <i t="grand">
      <x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40D31-59B4-423E-BE3F-74B75DA9DC3C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3"/>
        <item x="2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11"/>
  </rowFields>
  <rowItems count="7">
    <i>
      <x v="5"/>
    </i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B4865-81A3-41B7-B0CE-177CB620EFD9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">
  <location ref="A3:B9" firstHeaderRow="1" firstDataRow="1" firstDataCol="1"/>
  <pivotFields count="16">
    <pivotField showAll="0"/>
    <pivotField showAll="0"/>
    <pivotField showAll="0"/>
    <pivotField axis="axisRow" showAll="0" measureFilter="1" sortType="descending">
      <items count="111">
        <item x="104"/>
        <item x="101"/>
        <item x="105"/>
        <item x="92"/>
        <item x="97"/>
        <item x="95"/>
        <item x="102"/>
        <item x="109"/>
        <item x="103"/>
        <item x="107"/>
        <item x="106"/>
        <item x="108"/>
        <item x="98"/>
        <item x="94"/>
        <item x="100"/>
        <item x="33"/>
        <item x="74"/>
        <item x="66"/>
        <item x="58"/>
        <item x="35"/>
        <item x="48"/>
        <item x="81"/>
        <item x="0"/>
        <item x="63"/>
        <item x="86"/>
        <item x="56"/>
        <item x="30"/>
        <item x="15"/>
        <item x="2"/>
        <item x="7"/>
        <item x="54"/>
        <item x="13"/>
        <item x="20"/>
        <item x="80"/>
        <item x="72"/>
        <item x="65"/>
        <item x="41"/>
        <item x="9"/>
        <item x="10"/>
        <item x="43"/>
        <item x="59"/>
        <item x="51"/>
        <item x="71"/>
        <item x="60"/>
        <item x="77"/>
        <item x="53"/>
        <item x="11"/>
        <item x="87"/>
        <item x="40"/>
        <item x="14"/>
        <item x="37"/>
        <item x="79"/>
        <item x="50"/>
        <item x="90"/>
        <item x="93"/>
        <item x="89"/>
        <item x="8"/>
        <item x="61"/>
        <item x="32"/>
        <item x="5"/>
        <item x="70"/>
        <item x="52"/>
        <item x="17"/>
        <item x="85"/>
        <item x="21"/>
        <item x="83"/>
        <item x="78"/>
        <item x="42"/>
        <item x="18"/>
        <item x="3"/>
        <item x="49"/>
        <item x="24"/>
        <item x="55"/>
        <item x="27"/>
        <item x="19"/>
        <item x="91"/>
        <item x="44"/>
        <item x="22"/>
        <item x="34"/>
        <item x="75"/>
        <item x="1"/>
        <item x="12"/>
        <item x="69"/>
        <item x="84"/>
        <item x="29"/>
        <item x="4"/>
        <item x="46"/>
        <item x="57"/>
        <item x="23"/>
        <item x="68"/>
        <item x="45"/>
        <item x="38"/>
        <item x="28"/>
        <item x="31"/>
        <item x="73"/>
        <item x="47"/>
        <item x="62"/>
        <item x="64"/>
        <item x="26"/>
        <item x="39"/>
        <item x="16"/>
        <item x="67"/>
        <item x="6"/>
        <item x="36"/>
        <item x="25"/>
        <item x="96"/>
        <item x="88"/>
        <item x="99"/>
        <item x="82"/>
        <item x="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 v="78"/>
    </i>
    <i>
      <x v="62"/>
    </i>
    <i>
      <x v="29"/>
    </i>
    <i>
      <x v="37"/>
    </i>
    <i>
      <x v="28"/>
    </i>
    <i t="grand">
      <x/>
    </i>
  </rowItems>
  <colItems count="1">
    <i/>
  </colItems>
  <dataFields count="1">
    <dataField name="Sum of Revenue" fld="13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937E-E835-42CA-B984-34B1AF2E6F75}">
  <dimension ref="A1:D9"/>
  <sheetViews>
    <sheetView workbookViewId="0">
      <selection activeCell="B4" sqref="B4"/>
    </sheetView>
  </sheetViews>
  <sheetFormatPr defaultRowHeight="14.4" x14ac:dyDescent="0.3"/>
  <cols>
    <col min="1" max="1" width="17.88671875" bestFit="1" customWidth="1"/>
    <col min="2" max="2" width="14.88671875" bestFit="1" customWidth="1"/>
  </cols>
  <sheetData>
    <row r="1" spans="1:4" x14ac:dyDescent="0.3">
      <c r="A1" t="s">
        <v>26</v>
      </c>
    </row>
    <row r="3" spans="1:4" x14ac:dyDescent="0.3">
      <c r="A3" s="1" t="s">
        <v>26</v>
      </c>
      <c r="B3" t="s">
        <v>25</v>
      </c>
    </row>
    <row r="4" spans="1:4" x14ac:dyDescent="0.3">
      <c r="A4" s="2" t="s">
        <v>3</v>
      </c>
      <c r="B4" s="3">
        <v>1052880</v>
      </c>
      <c r="D4" t="s">
        <v>27</v>
      </c>
    </row>
    <row r="5" spans="1:4" x14ac:dyDescent="0.3">
      <c r="A5" s="2" t="s">
        <v>11</v>
      </c>
      <c r="B5" s="3">
        <v>769860</v>
      </c>
    </row>
    <row r="6" spans="1:4" x14ac:dyDescent="0.3">
      <c r="A6" s="2" t="s">
        <v>22</v>
      </c>
      <c r="B6" s="3">
        <v>347160</v>
      </c>
    </row>
    <row r="7" spans="1:4" x14ac:dyDescent="0.3">
      <c r="A7" s="2" t="s">
        <v>13</v>
      </c>
      <c r="B7" s="3">
        <v>341310</v>
      </c>
    </row>
    <row r="8" spans="1:4" x14ac:dyDescent="0.3">
      <c r="A8" s="2" t="s">
        <v>8</v>
      </c>
      <c r="B8" s="3">
        <v>242295</v>
      </c>
    </row>
    <row r="9" spans="1:4" x14ac:dyDescent="0.3">
      <c r="A9" s="2" t="s">
        <v>24</v>
      </c>
      <c r="B9" s="3">
        <v>2753505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D2A-59F3-4A15-B724-C0A8D606EB30}">
  <dimension ref="A1:B10"/>
  <sheetViews>
    <sheetView workbookViewId="0">
      <selection activeCell="B4" sqref="B4"/>
    </sheetView>
  </sheetViews>
  <sheetFormatPr defaultRowHeight="14.4" x14ac:dyDescent="0.3"/>
  <cols>
    <col min="1" max="1" width="17.77734375" customWidth="1"/>
    <col min="2" max="2" width="14.88671875" bestFit="1" customWidth="1"/>
  </cols>
  <sheetData>
    <row r="1" spans="1:2" x14ac:dyDescent="0.3">
      <c r="A1" t="s">
        <v>28</v>
      </c>
    </row>
    <row r="3" spans="1:2" x14ac:dyDescent="0.3">
      <c r="A3" s="1" t="s">
        <v>0</v>
      </c>
      <c r="B3" t="s">
        <v>25</v>
      </c>
    </row>
    <row r="4" spans="1:2" x14ac:dyDescent="0.3">
      <c r="A4" s="2" t="s">
        <v>15</v>
      </c>
      <c r="B4" s="3">
        <v>778855</v>
      </c>
    </row>
    <row r="5" spans="1:2" x14ac:dyDescent="0.3">
      <c r="A5" s="2" t="s">
        <v>1</v>
      </c>
      <c r="B5" s="3">
        <v>683330.75</v>
      </c>
    </row>
    <row r="6" spans="1:2" x14ac:dyDescent="0.3">
      <c r="A6" s="2" t="s">
        <v>6</v>
      </c>
      <c r="B6" s="3">
        <v>566091.5</v>
      </c>
    </row>
    <row r="7" spans="1:2" x14ac:dyDescent="0.3">
      <c r="A7" s="2" t="s">
        <v>18</v>
      </c>
      <c r="B7" s="3">
        <v>494409.25</v>
      </c>
    </row>
    <row r="8" spans="1:2" x14ac:dyDescent="0.3">
      <c r="A8" s="2" t="s">
        <v>19</v>
      </c>
      <c r="B8" s="3">
        <v>493562.5</v>
      </c>
    </row>
    <row r="9" spans="1:2" x14ac:dyDescent="0.3">
      <c r="A9" s="2" t="s">
        <v>10</v>
      </c>
      <c r="B9" s="3">
        <v>434867.75</v>
      </c>
    </row>
    <row r="10" spans="1:2" x14ac:dyDescent="0.3">
      <c r="A10" s="2" t="s">
        <v>24</v>
      </c>
      <c r="B10" s="3">
        <v>3451116.75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5349-5A86-47B0-B48D-5459DE181900}">
  <dimension ref="A1:B10"/>
  <sheetViews>
    <sheetView workbookViewId="0"/>
  </sheetViews>
  <sheetFormatPr defaultRowHeight="14.4" x14ac:dyDescent="0.3"/>
  <cols>
    <col min="1" max="1" width="14" bestFit="1" customWidth="1"/>
    <col min="2" max="2" width="14.88671875" bestFit="1" customWidth="1"/>
  </cols>
  <sheetData>
    <row r="1" spans="1:2" x14ac:dyDescent="0.3">
      <c r="A1" t="s">
        <v>31</v>
      </c>
    </row>
    <row r="3" spans="1:2" x14ac:dyDescent="0.3">
      <c r="A3" s="1" t="s">
        <v>23</v>
      </c>
      <c r="B3" t="s">
        <v>25</v>
      </c>
    </row>
    <row r="4" spans="1:2" x14ac:dyDescent="0.3">
      <c r="A4" s="2" t="s">
        <v>2</v>
      </c>
      <c r="B4" s="3">
        <v>699328.5</v>
      </c>
    </row>
    <row r="5" spans="1:2" x14ac:dyDescent="0.3">
      <c r="A5" s="2" t="s">
        <v>14</v>
      </c>
      <c r="B5" s="3">
        <v>567258</v>
      </c>
    </row>
    <row r="6" spans="1:2" x14ac:dyDescent="0.3">
      <c r="A6" s="2" t="s">
        <v>9</v>
      </c>
      <c r="B6" s="3">
        <v>556663.5</v>
      </c>
    </row>
    <row r="7" spans="1:2" x14ac:dyDescent="0.3">
      <c r="A7" s="2" t="s">
        <v>4</v>
      </c>
      <c r="B7" s="3">
        <v>553147.25</v>
      </c>
    </row>
    <row r="8" spans="1:2" x14ac:dyDescent="0.3">
      <c r="A8" s="2" t="s">
        <v>7</v>
      </c>
      <c r="B8" s="3">
        <v>543682.25</v>
      </c>
    </row>
    <row r="9" spans="1:2" x14ac:dyDescent="0.3">
      <c r="A9" s="2" t="s">
        <v>17</v>
      </c>
      <c r="B9" s="3">
        <v>531037.25</v>
      </c>
    </row>
    <row r="10" spans="1:2" x14ac:dyDescent="0.3">
      <c r="A10" s="2" t="s">
        <v>24</v>
      </c>
      <c r="B10" s="3">
        <v>3451116.75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E8E0-C142-4572-8F6A-3321942EF5E8}">
  <dimension ref="A1:B9"/>
  <sheetViews>
    <sheetView workbookViewId="0">
      <selection activeCell="B28" sqref="B28"/>
    </sheetView>
  </sheetViews>
  <sheetFormatPr defaultRowHeight="14.4" x14ac:dyDescent="0.3"/>
  <cols>
    <col min="1" max="1" width="13.109375" bestFit="1" customWidth="1"/>
    <col min="2" max="2" width="14.88671875" bestFit="1" customWidth="1"/>
  </cols>
  <sheetData>
    <row r="1" spans="1:2" x14ac:dyDescent="0.3">
      <c r="A1" t="s">
        <v>30</v>
      </c>
    </row>
    <row r="3" spans="1:2" x14ac:dyDescent="0.3">
      <c r="A3" s="1" t="s">
        <v>29</v>
      </c>
      <c r="B3" t="s">
        <v>25</v>
      </c>
    </row>
    <row r="4" spans="1:2" x14ac:dyDescent="0.3">
      <c r="A4" s="2" t="s">
        <v>21</v>
      </c>
      <c r="B4" s="3">
        <v>126839.75</v>
      </c>
    </row>
    <row r="5" spans="1:2" x14ac:dyDescent="0.3">
      <c r="A5" s="2" t="s">
        <v>20</v>
      </c>
      <c r="B5" s="3">
        <v>125667.75</v>
      </c>
    </row>
    <row r="6" spans="1:2" x14ac:dyDescent="0.3">
      <c r="A6" s="2" t="s">
        <v>12</v>
      </c>
      <c r="B6" s="3">
        <v>113713.25</v>
      </c>
    </row>
    <row r="7" spans="1:2" x14ac:dyDescent="0.3">
      <c r="A7" s="2" t="s">
        <v>16</v>
      </c>
      <c r="B7" s="3">
        <v>83846</v>
      </c>
    </row>
    <row r="8" spans="1:2" x14ac:dyDescent="0.3">
      <c r="A8" s="2" t="s">
        <v>5</v>
      </c>
      <c r="B8" s="3">
        <v>82454.75</v>
      </c>
    </row>
    <row r="9" spans="1:2" x14ac:dyDescent="0.3">
      <c r="A9" s="2" t="s">
        <v>24</v>
      </c>
      <c r="B9" s="3">
        <v>532521.5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AAE5-65D4-4CE0-8196-455EF6B2B4D3}">
  <dimension ref="A1:S1001"/>
  <sheetViews>
    <sheetView tabSelected="1" topLeftCell="A977" workbookViewId="0">
      <selection activeCell="J8" sqref="J8"/>
    </sheetView>
  </sheetViews>
  <sheetFormatPr defaultRowHeight="14.4" x14ac:dyDescent="0.3"/>
  <cols>
    <col min="1" max="1" width="9.44140625" customWidth="1"/>
    <col min="2" max="2" width="11.5546875" customWidth="1"/>
    <col min="3" max="3" width="12.77734375" customWidth="1"/>
    <col min="4" max="4" width="17.77734375" bestFit="1" customWidth="1"/>
    <col min="5" max="5" width="12.21875" bestFit="1" customWidth="1"/>
    <col min="6" max="6" width="10.33203125" customWidth="1"/>
    <col min="7" max="7" width="11.33203125" customWidth="1"/>
    <col min="8" max="8" width="22" bestFit="1" customWidth="1"/>
    <col min="9" max="9" width="10.44140625" bestFit="1" customWidth="1"/>
    <col min="10" max="10" width="10.21875" customWidth="1"/>
    <col min="11" max="11" width="10.5546875" customWidth="1"/>
    <col min="12" max="12" width="14" bestFit="1" customWidth="1"/>
    <col min="13" max="13" width="17.21875" customWidth="1"/>
    <col min="14" max="14" width="10.21875" customWidth="1"/>
    <col min="15" max="15" width="14.44140625" customWidth="1"/>
    <col min="19" max="19" width="16.77734375" customWidth="1"/>
  </cols>
  <sheetData>
    <row r="1" spans="1:19" x14ac:dyDescent="0.3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9" x14ac:dyDescent="0.3">
      <c r="A2" t="s">
        <v>45</v>
      </c>
      <c r="B2" s="4">
        <v>46250</v>
      </c>
      <c r="C2" t="s">
        <v>46</v>
      </c>
      <c r="D2" t="s">
        <v>47</v>
      </c>
      <c r="E2" t="s">
        <v>1</v>
      </c>
      <c r="F2" t="s">
        <v>48</v>
      </c>
      <c r="G2" t="s">
        <v>49</v>
      </c>
      <c r="H2" t="s">
        <v>50</v>
      </c>
      <c r="I2" t="s">
        <v>51</v>
      </c>
      <c r="J2">
        <v>5</v>
      </c>
      <c r="K2">
        <v>99.75</v>
      </c>
      <c r="L2" t="s">
        <v>2</v>
      </c>
      <c r="M2" t="s">
        <v>52</v>
      </c>
      <c r="N2">
        <f>J2*K2</f>
        <v>498.75</v>
      </c>
    </row>
    <row r="3" spans="1:19" x14ac:dyDescent="0.3">
      <c r="A3" t="s">
        <v>53</v>
      </c>
      <c r="B3" s="4">
        <v>46245</v>
      </c>
      <c r="C3" t="s">
        <v>54</v>
      </c>
      <c r="D3" t="s">
        <v>55</v>
      </c>
      <c r="E3" t="s">
        <v>1</v>
      </c>
      <c r="F3" t="s">
        <v>48</v>
      </c>
      <c r="G3" t="s">
        <v>56</v>
      </c>
      <c r="H3" t="s">
        <v>3</v>
      </c>
      <c r="I3" t="s">
        <v>57</v>
      </c>
      <c r="J3">
        <v>1</v>
      </c>
      <c r="K3">
        <v>8200</v>
      </c>
      <c r="L3" t="s">
        <v>4</v>
      </c>
      <c r="M3" t="s">
        <v>58</v>
      </c>
      <c r="N3">
        <f t="shared" ref="N3:N66" si="0">J3*K3</f>
        <v>8200</v>
      </c>
    </row>
    <row r="4" spans="1:19" x14ac:dyDescent="0.3">
      <c r="A4" t="s">
        <v>59</v>
      </c>
      <c r="B4" s="4">
        <v>46224</v>
      </c>
      <c r="C4" t="s">
        <v>60</v>
      </c>
      <c r="D4" t="s">
        <v>5</v>
      </c>
      <c r="E4" t="s">
        <v>6</v>
      </c>
      <c r="F4" t="s">
        <v>48</v>
      </c>
      <c r="G4" t="s">
        <v>61</v>
      </c>
      <c r="H4" t="s">
        <v>62</v>
      </c>
      <c r="I4" t="s">
        <v>63</v>
      </c>
      <c r="J4">
        <v>6</v>
      </c>
      <c r="K4">
        <v>110</v>
      </c>
      <c r="L4" t="s">
        <v>7</v>
      </c>
      <c r="M4" t="s">
        <v>52</v>
      </c>
      <c r="N4">
        <f t="shared" si="0"/>
        <v>660</v>
      </c>
    </row>
    <row r="5" spans="1:19" x14ac:dyDescent="0.3">
      <c r="A5" t="s">
        <v>64</v>
      </c>
      <c r="B5" s="4">
        <v>46121</v>
      </c>
      <c r="C5" t="s">
        <v>65</v>
      </c>
      <c r="D5" t="s">
        <v>66</v>
      </c>
      <c r="E5" t="s">
        <v>1</v>
      </c>
      <c r="F5" t="s">
        <v>48</v>
      </c>
      <c r="G5" t="s">
        <v>67</v>
      </c>
      <c r="H5" t="s">
        <v>8</v>
      </c>
      <c r="I5" t="s">
        <v>68</v>
      </c>
      <c r="J5">
        <v>5</v>
      </c>
      <c r="K5">
        <v>1450</v>
      </c>
      <c r="L5" t="s">
        <v>9</v>
      </c>
      <c r="M5" t="s">
        <v>52</v>
      </c>
      <c r="N5">
        <f t="shared" si="0"/>
        <v>7250</v>
      </c>
    </row>
    <row r="6" spans="1:19" x14ac:dyDescent="0.3">
      <c r="A6" t="s">
        <v>69</v>
      </c>
      <c r="B6" s="4">
        <v>46113</v>
      </c>
      <c r="C6" t="s">
        <v>70</v>
      </c>
      <c r="D6" t="s">
        <v>71</v>
      </c>
      <c r="E6" t="s">
        <v>10</v>
      </c>
      <c r="F6" t="s">
        <v>72</v>
      </c>
      <c r="G6" t="s">
        <v>73</v>
      </c>
      <c r="H6" t="s">
        <v>74</v>
      </c>
      <c r="I6" t="s">
        <v>75</v>
      </c>
      <c r="J6">
        <v>1</v>
      </c>
      <c r="K6">
        <v>420</v>
      </c>
      <c r="L6" t="s">
        <v>9</v>
      </c>
      <c r="M6" t="s">
        <v>58</v>
      </c>
      <c r="N6">
        <f t="shared" si="0"/>
        <v>420</v>
      </c>
    </row>
    <row r="7" spans="1:19" x14ac:dyDescent="0.3">
      <c r="A7" t="s">
        <v>76</v>
      </c>
      <c r="B7" s="4">
        <v>46126</v>
      </c>
      <c r="C7" t="s">
        <v>77</v>
      </c>
      <c r="D7" t="s">
        <v>78</v>
      </c>
      <c r="E7" t="s">
        <v>6</v>
      </c>
      <c r="F7" t="s">
        <v>72</v>
      </c>
      <c r="G7" t="s">
        <v>79</v>
      </c>
      <c r="H7" t="s">
        <v>11</v>
      </c>
      <c r="I7" t="s">
        <v>57</v>
      </c>
      <c r="J7">
        <v>1</v>
      </c>
      <c r="K7">
        <v>4940</v>
      </c>
      <c r="L7" t="s">
        <v>7</v>
      </c>
      <c r="M7" t="s">
        <v>80</v>
      </c>
      <c r="N7">
        <f t="shared" si="0"/>
        <v>4940</v>
      </c>
    </row>
    <row r="8" spans="1:19" x14ac:dyDescent="0.3">
      <c r="A8" t="s">
        <v>81</v>
      </c>
      <c r="B8" s="4">
        <v>46126</v>
      </c>
      <c r="C8" t="s">
        <v>82</v>
      </c>
      <c r="D8" t="s">
        <v>83</v>
      </c>
      <c r="E8" t="s">
        <v>10</v>
      </c>
      <c r="F8" t="s">
        <v>72</v>
      </c>
      <c r="G8" t="s">
        <v>84</v>
      </c>
      <c r="H8" t="s">
        <v>85</v>
      </c>
      <c r="I8" t="s">
        <v>51</v>
      </c>
      <c r="J8">
        <v>3</v>
      </c>
      <c r="K8">
        <v>798</v>
      </c>
      <c r="L8" t="s">
        <v>7</v>
      </c>
      <c r="M8" t="s">
        <v>58</v>
      </c>
      <c r="N8">
        <f t="shared" si="0"/>
        <v>2394</v>
      </c>
      <c r="P8" t="s">
        <v>86</v>
      </c>
      <c r="S8" t="s">
        <v>87</v>
      </c>
    </row>
    <row r="9" spans="1:19" x14ac:dyDescent="0.3">
      <c r="A9" t="s">
        <v>88</v>
      </c>
      <c r="B9" s="4">
        <v>46069</v>
      </c>
      <c r="C9" t="s">
        <v>89</v>
      </c>
      <c r="D9" t="s">
        <v>12</v>
      </c>
      <c r="E9" t="s">
        <v>1</v>
      </c>
      <c r="F9" t="s">
        <v>90</v>
      </c>
      <c r="G9" t="s">
        <v>91</v>
      </c>
      <c r="H9" t="s">
        <v>13</v>
      </c>
      <c r="I9" t="s">
        <v>57</v>
      </c>
      <c r="J9">
        <v>2</v>
      </c>
      <c r="K9">
        <v>3100</v>
      </c>
      <c r="L9" t="s">
        <v>14</v>
      </c>
      <c r="M9" t="s">
        <v>58</v>
      </c>
      <c r="N9">
        <f t="shared" si="0"/>
        <v>6200</v>
      </c>
      <c r="P9">
        <f>SUMIF(M:M,"Card",N:N)</f>
        <v>733821.25</v>
      </c>
      <c r="S9">
        <f>SUM(N2:N1001)</f>
        <v>3458668.75</v>
      </c>
    </row>
    <row r="10" spans="1:19" x14ac:dyDescent="0.3">
      <c r="A10" t="s">
        <v>92</v>
      </c>
      <c r="B10" s="4">
        <v>46112</v>
      </c>
      <c r="C10" t="s">
        <v>93</v>
      </c>
      <c r="D10" t="s">
        <v>94</v>
      </c>
      <c r="E10" t="s">
        <v>15</v>
      </c>
      <c r="F10" t="s">
        <v>48</v>
      </c>
      <c r="G10" t="s">
        <v>95</v>
      </c>
      <c r="H10" t="s">
        <v>96</v>
      </c>
      <c r="I10" t="s">
        <v>75</v>
      </c>
      <c r="J10">
        <v>3</v>
      </c>
      <c r="K10">
        <v>650</v>
      </c>
      <c r="L10" t="s">
        <v>4</v>
      </c>
      <c r="M10" t="s">
        <v>58</v>
      </c>
      <c r="N10">
        <f t="shared" si="0"/>
        <v>1950</v>
      </c>
    </row>
    <row r="11" spans="1:19" x14ac:dyDescent="0.3">
      <c r="A11" t="s">
        <v>97</v>
      </c>
      <c r="B11" s="4">
        <v>46089</v>
      </c>
      <c r="C11" t="s">
        <v>98</v>
      </c>
      <c r="D11" t="s">
        <v>16</v>
      </c>
      <c r="E11" t="s">
        <v>1</v>
      </c>
      <c r="F11" t="s">
        <v>48</v>
      </c>
      <c r="G11" t="s">
        <v>79</v>
      </c>
      <c r="H11" t="s">
        <v>11</v>
      </c>
      <c r="I11" t="s">
        <v>57</v>
      </c>
      <c r="J11">
        <v>1</v>
      </c>
      <c r="K11">
        <v>5200</v>
      </c>
      <c r="L11" t="s">
        <v>14</v>
      </c>
      <c r="M11" t="s">
        <v>52</v>
      </c>
      <c r="N11">
        <f t="shared" si="0"/>
        <v>5200</v>
      </c>
      <c r="P11" t="s">
        <v>99</v>
      </c>
      <c r="S11" t="s">
        <v>100</v>
      </c>
    </row>
    <row r="12" spans="1:19" x14ac:dyDescent="0.3">
      <c r="A12" t="s">
        <v>101</v>
      </c>
      <c r="B12" s="4">
        <v>46041</v>
      </c>
      <c r="C12" t="s">
        <v>102</v>
      </c>
      <c r="D12" t="s">
        <v>103</v>
      </c>
      <c r="E12" t="s">
        <v>10</v>
      </c>
      <c r="F12" t="s">
        <v>90</v>
      </c>
      <c r="G12" t="s">
        <v>95</v>
      </c>
      <c r="H12" t="s">
        <v>96</v>
      </c>
      <c r="I12" t="s">
        <v>75</v>
      </c>
      <c r="J12">
        <v>6</v>
      </c>
      <c r="K12">
        <v>650</v>
      </c>
      <c r="L12" t="s">
        <v>17</v>
      </c>
      <c r="M12" t="s">
        <v>80</v>
      </c>
      <c r="N12">
        <f t="shared" si="0"/>
        <v>3900</v>
      </c>
      <c r="P12">
        <f>SUMIF(M:M, "Cash",N:N)</f>
        <v>931581.5</v>
      </c>
      <c r="S12">
        <f>AVERAGE(N2:N1001)</f>
        <v>3458.6687499999998</v>
      </c>
    </row>
    <row r="13" spans="1:19" x14ac:dyDescent="0.3">
      <c r="A13" t="s">
        <v>104</v>
      </c>
      <c r="B13" s="4">
        <v>46208</v>
      </c>
      <c r="C13" t="s">
        <v>77</v>
      </c>
      <c r="D13" t="s">
        <v>78</v>
      </c>
      <c r="E13" t="s">
        <v>6</v>
      </c>
      <c r="F13" t="s">
        <v>72</v>
      </c>
      <c r="G13" t="s">
        <v>67</v>
      </c>
      <c r="H13" t="s">
        <v>8</v>
      </c>
      <c r="I13" t="s">
        <v>68</v>
      </c>
      <c r="J13">
        <v>5</v>
      </c>
      <c r="K13">
        <v>1522.5</v>
      </c>
      <c r="L13" t="s">
        <v>7</v>
      </c>
      <c r="M13" t="s">
        <v>105</v>
      </c>
      <c r="N13">
        <f t="shared" si="0"/>
        <v>7612.5</v>
      </c>
    </row>
    <row r="14" spans="1:19" x14ac:dyDescent="0.3">
      <c r="A14" t="s">
        <v>106</v>
      </c>
      <c r="B14" s="4">
        <v>46202</v>
      </c>
      <c r="C14" t="s">
        <v>107</v>
      </c>
      <c r="D14" t="s">
        <v>108</v>
      </c>
      <c r="E14" t="s">
        <v>1</v>
      </c>
      <c r="F14" t="s">
        <v>72</v>
      </c>
      <c r="G14" t="s">
        <v>109</v>
      </c>
      <c r="H14" t="s">
        <v>110</v>
      </c>
      <c r="I14" t="s">
        <v>111</v>
      </c>
      <c r="J14">
        <v>1</v>
      </c>
      <c r="K14">
        <v>320</v>
      </c>
      <c r="L14" t="s">
        <v>9</v>
      </c>
      <c r="M14" t="s">
        <v>105</v>
      </c>
      <c r="N14">
        <f t="shared" si="0"/>
        <v>320</v>
      </c>
      <c r="P14" t="s">
        <v>112</v>
      </c>
    </row>
    <row r="15" spans="1:19" x14ac:dyDescent="0.3">
      <c r="A15" t="s">
        <v>113</v>
      </c>
      <c r="B15" s="4">
        <v>46197</v>
      </c>
      <c r="C15" t="s">
        <v>114</v>
      </c>
      <c r="D15" t="s">
        <v>115</v>
      </c>
      <c r="E15" t="s">
        <v>18</v>
      </c>
      <c r="F15" t="s">
        <v>72</v>
      </c>
      <c r="G15" t="s">
        <v>109</v>
      </c>
      <c r="H15" t="s">
        <v>110</v>
      </c>
      <c r="I15" t="s">
        <v>111</v>
      </c>
      <c r="J15">
        <v>3</v>
      </c>
      <c r="K15">
        <v>320</v>
      </c>
      <c r="L15" t="s">
        <v>17</v>
      </c>
      <c r="M15" t="s">
        <v>80</v>
      </c>
      <c r="N15">
        <f t="shared" si="0"/>
        <v>960</v>
      </c>
      <c r="P15">
        <f>SUMIF(M:M, "Mobile Money", N:N)</f>
        <v>918027.75</v>
      </c>
    </row>
    <row r="16" spans="1:19" x14ac:dyDescent="0.3">
      <c r="A16" t="s">
        <v>116</v>
      </c>
      <c r="B16" s="4">
        <v>46237</v>
      </c>
      <c r="C16" t="s">
        <v>117</v>
      </c>
      <c r="D16" t="s">
        <v>118</v>
      </c>
      <c r="E16" t="s">
        <v>19</v>
      </c>
      <c r="F16" t="s">
        <v>48</v>
      </c>
      <c r="G16" t="s">
        <v>49</v>
      </c>
      <c r="H16" t="s">
        <v>50</v>
      </c>
      <c r="I16" t="s">
        <v>51</v>
      </c>
      <c r="J16">
        <v>1</v>
      </c>
      <c r="K16">
        <v>95</v>
      </c>
      <c r="L16" t="s">
        <v>9</v>
      </c>
      <c r="M16" t="s">
        <v>105</v>
      </c>
      <c r="N16">
        <f t="shared" si="0"/>
        <v>95</v>
      </c>
    </row>
    <row r="17" spans="1:14" x14ac:dyDescent="0.3">
      <c r="A17" t="s">
        <v>119</v>
      </c>
      <c r="B17" s="4">
        <v>46143</v>
      </c>
      <c r="C17" t="s">
        <v>65</v>
      </c>
      <c r="D17" t="s">
        <v>66</v>
      </c>
      <c r="E17" t="s">
        <v>1</v>
      </c>
      <c r="F17" t="s">
        <v>48</v>
      </c>
      <c r="G17" t="s">
        <v>61</v>
      </c>
      <c r="H17" t="s">
        <v>62</v>
      </c>
      <c r="I17" t="s">
        <v>63</v>
      </c>
      <c r="J17">
        <v>2</v>
      </c>
      <c r="K17">
        <v>110</v>
      </c>
      <c r="L17" t="s">
        <v>17</v>
      </c>
      <c r="M17" t="s">
        <v>105</v>
      </c>
      <c r="N17">
        <f t="shared" si="0"/>
        <v>220</v>
      </c>
    </row>
    <row r="18" spans="1:14" x14ac:dyDescent="0.3">
      <c r="A18" t="s">
        <v>120</v>
      </c>
      <c r="B18" s="4">
        <v>46192</v>
      </c>
      <c r="C18" t="s">
        <v>121</v>
      </c>
      <c r="D18" t="s">
        <v>122</v>
      </c>
      <c r="E18" t="s">
        <v>18</v>
      </c>
      <c r="F18" t="s">
        <v>90</v>
      </c>
      <c r="G18" t="s">
        <v>123</v>
      </c>
      <c r="H18" t="s">
        <v>124</v>
      </c>
      <c r="I18" t="s">
        <v>111</v>
      </c>
      <c r="J18">
        <v>1</v>
      </c>
      <c r="K18">
        <v>168</v>
      </c>
      <c r="L18" t="s">
        <v>2</v>
      </c>
      <c r="M18" t="s">
        <v>80</v>
      </c>
      <c r="N18">
        <f t="shared" si="0"/>
        <v>168</v>
      </c>
    </row>
    <row r="19" spans="1:14" x14ac:dyDescent="0.3">
      <c r="A19" t="s">
        <v>125</v>
      </c>
      <c r="B19" s="4">
        <v>46196</v>
      </c>
      <c r="C19" t="s">
        <v>126</v>
      </c>
      <c r="D19" t="s">
        <v>127</v>
      </c>
      <c r="E19" t="s">
        <v>15</v>
      </c>
      <c r="F19" t="s">
        <v>72</v>
      </c>
      <c r="G19" t="s">
        <v>56</v>
      </c>
      <c r="H19" t="s">
        <v>3</v>
      </c>
      <c r="I19" t="s">
        <v>57</v>
      </c>
      <c r="J19">
        <v>1</v>
      </c>
      <c r="K19">
        <v>8200</v>
      </c>
      <c r="L19" t="s">
        <v>9</v>
      </c>
      <c r="M19" t="s">
        <v>58</v>
      </c>
      <c r="N19">
        <f t="shared" si="0"/>
        <v>8200</v>
      </c>
    </row>
    <row r="20" spans="1:14" x14ac:dyDescent="0.3">
      <c r="A20" t="s">
        <v>128</v>
      </c>
      <c r="B20" s="4">
        <v>46145</v>
      </c>
      <c r="C20" t="s">
        <v>129</v>
      </c>
      <c r="D20" t="s">
        <v>130</v>
      </c>
      <c r="E20" t="s">
        <v>15</v>
      </c>
      <c r="F20" t="s">
        <v>90</v>
      </c>
      <c r="G20" t="s">
        <v>56</v>
      </c>
      <c r="H20" t="s">
        <v>3</v>
      </c>
      <c r="I20" t="s">
        <v>57</v>
      </c>
      <c r="J20">
        <v>3</v>
      </c>
      <c r="K20">
        <v>7790</v>
      </c>
      <c r="L20" t="s">
        <v>4</v>
      </c>
      <c r="M20" t="s">
        <v>105</v>
      </c>
      <c r="N20">
        <f t="shared" si="0"/>
        <v>23370</v>
      </c>
    </row>
    <row r="21" spans="1:14" x14ac:dyDescent="0.3">
      <c r="A21" t="s">
        <v>131</v>
      </c>
      <c r="B21" s="4">
        <v>46207</v>
      </c>
      <c r="C21" t="s">
        <v>132</v>
      </c>
      <c r="D21" t="s">
        <v>20</v>
      </c>
      <c r="E21" t="s">
        <v>19</v>
      </c>
      <c r="F21" t="s">
        <v>90</v>
      </c>
      <c r="G21" t="s">
        <v>79</v>
      </c>
      <c r="H21" t="s">
        <v>11</v>
      </c>
      <c r="I21" t="s">
        <v>57</v>
      </c>
      <c r="J21">
        <v>3</v>
      </c>
      <c r="K21">
        <v>5200</v>
      </c>
      <c r="L21" t="s">
        <v>4</v>
      </c>
      <c r="M21" t="s">
        <v>52</v>
      </c>
      <c r="N21">
        <f t="shared" si="0"/>
        <v>15600</v>
      </c>
    </row>
    <row r="22" spans="1:14" x14ac:dyDescent="0.3">
      <c r="A22" t="s">
        <v>133</v>
      </c>
      <c r="B22" s="4">
        <v>46252</v>
      </c>
      <c r="C22" t="s">
        <v>134</v>
      </c>
      <c r="D22" t="s">
        <v>135</v>
      </c>
      <c r="E22" t="s">
        <v>15</v>
      </c>
      <c r="F22" t="s">
        <v>72</v>
      </c>
      <c r="G22" t="s">
        <v>136</v>
      </c>
      <c r="H22" t="s">
        <v>137</v>
      </c>
      <c r="I22" t="s">
        <v>111</v>
      </c>
      <c r="J22">
        <v>4</v>
      </c>
      <c r="K22">
        <v>80.75</v>
      </c>
      <c r="L22" t="s">
        <v>4</v>
      </c>
      <c r="M22" t="s">
        <v>52</v>
      </c>
      <c r="N22">
        <f t="shared" si="0"/>
        <v>323</v>
      </c>
    </row>
    <row r="23" spans="1:14" x14ac:dyDescent="0.3">
      <c r="A23" t="s">
        <v>138</v>
      </c>
      <c r="B23" s="4">
        <v>46142</v>
      </c>
      <c r="C23" t="s">
        <v>60</v>
      </c>
      <c r="D23" t="s">
        <v>5</v>
      </c>
      <c r="E23" t="s">
        <v>6</v>
      </c>
      <c r="F23" t="s">
        <v>48</v>
      </c>
      <c r="G23" t="s">
        <v>84</v>
      </c>
      <c r="H23" t="s">
        <v>85</v>
      </c>
      <c r="I23" t="s">
        <v>51</v>
      </c>
      <c r="J23">
        <v>1</v>
      </c>
      <c r="K23">
        <v>760</v>
      </c>
      <c r="L23" t="s">
        <v>14</v>
      </c>
      <c r="M23" t="s">
        <v>105</v>
      </c>
      <c r="N23">
        <f t="shared" si="0"/>
        <v>760</v>
      </c>
    </row>
    <row r="24" spans="1:14" x14ac:dyDescent="0.3">
      <c r="A24" t="s">
        <v>139</v>
      </c>
      <c r="B24" s="4">
        <v>46194</v>
      </c>
      <c r="C24" t="s">
        <v>140</v>
      </c>
      <c r="D24" t="s">
        <v>141</v>
      </c>
      <c r="E24" t="s">
        <v>1</v>
      </c>
      <c r="F24" t="s">
        <v>48</v>
      </c>
      <c r="G24" t="s">
        <v>73</v>
      </c>
      <c r="H24" t="s">
        <v>74</v>
      </c>
      <c r="I24" t="s">
        <v>75</v>
      </c>
      <c r="J24">
        <v>2</v>
      </c>
      <c r="K24">
        <v>441</v>
      </c>
      <c r="L24" t="s">
        <v>17</v>
      </c>
      <c r="M24" t="s">
        <v>80</v>
      </c>
      <c r="N24">
        <f t="shared" si="0"/>
        <v>882</v>
      </c>
    </row>
    <row r="25" spans="1:14" x14ac:dyDescent="0.3">
      <c r="A25" t="s">
        <v>142</v>
      </c>
      <c r="B25" s="4">
        <v>46180</v>
      </c>
      <c r="C25" t="s">
        <v>143</v>
      </c>
      <c r="D25" t="s">
        <v>144</v>
      </c>
      <c r="E25" t="s">
        <v>15</v>
      </c>
      <c r="F25" t="s">
        <v>48</v>
      </c>
      <c r="G25" t="s">
        <v>73</v>
      </c>
      <c r="H25" t="s">
        <v>74</v>
      </c>
      <c r="I25" t="s">
        <v>75</v>
      </c>
      <c r="J25">
        <v>4</v>
      </c>
      <c r="K25">
        <v>441</v>
      </c>
      <c r="L25" t="s">
        <v>4</v>
      </c>
      <c r="M25" t="s">
        <v>105</v>
      </c>
      <c r="N25">
        <f>J25*K25</f>
        <v>1764</v>
      </c>
    </row>
    <row r="26" spans="1:14" x14ac:dyDescent="0.3">
      <c r="A26" t="s">
        <v>145</v>
      </c>
      <c r="B26" s="4">
        <v>46214</v>
      </c>
      <c r="C26" t="s">
        <v>146</v>
      </c>
      <c r="D26" t="s">
        <v>147</v>
      </c>
      <c r="E26" t="s">
        <v>15</v>
      </c>
      <c r="F26" t="s">
        <v>90</v>
      </c>
      <c r="G26" t="s">
        <v>123</v>
      </c>
      <c r="H26" t="s">
        <v>124</v>
      </c>
      <c r="I26" t="s">
        <v>111</v>
      </c>
      <c r="J26">
        <v>5</v>
      </c>
      <c r="K26">
        <v>160</v>
      </c>
      <c r="L26" t="s">
        <v>7</v>
      </c>
      <c r="M26" t="s">
        <v>52</v>
      </c>
      <c r="N26">
        <f t="shared" si="0"/>
        <v>800</v>
      </c>
    </row>
    <row r="27" spans="1:14" x14ac:dyDescent="0.3">
      <c r="A27" t="s">
        <v>148</v>
      </c>
      <c r="B27" s="4">
        <v>46220</v>
      </c>
      <c r="C27" t="s">
        <v>149</v>
      </c>
      <c r="D27" t="s">
        <v>150</v>
      </c>
      <c r="E27" t="s">
        <v>6</v>
      </c>
      <c r="F27" t="s">
        <v>72</v>
      </c>
      <c r="G27" t="s">
        <v>91</v>
      </c>
      <c r="H27" t="s">
        <v>13</v>
      </c>
      <c r="I27" t="s">
        <v>57</v>
      </c>
      <c r="J27">
        <v>4</v>
      </c>
      <c r="K27">
        <v>3100</v>
      </c>
      <c r="L27" t="s">
        <v>2</v>
      </c>
      <c r="M27" t="s">
        <v>52</v>
      </c>
      <c r="N27">
        <f t="shared" si="0"/>
        <v>12400</v>
      </c>
    </row>
    <row r="28" spans="1:14" x14ac:dyDescent="0.3">
      <c r="A28" t="s">
        <v>151</v>
      </c>
      <c r="B28" s="4">
        <v>46043</v>
      </c>
      <c r="C28" t="s">
        <v>152</v>
      </c>
      <c r="D28" t="s">
        <v>153</v>
      </c>
      <c r="E28" t="s">
        <v>15</v>
      </c>
      <c r="F28" t="s">
        <v>48</v>
      </c>
      <c r="G28" t="s">
        <v>73</v>
      </c>
      <c r="H28" t="s">
        <v>74</v>
      </c>
      <c r="I28" t="s">
        <v>75</v>
      </c>
      <c r="J28">
        <v>3</v>
      </c>
      <c r="K28">
        <v>420</v>
      </c>
      <c r="L28" t="s">
        <v>7</v>
      </c>
      <c r="M28" t="s">
        <v>80</v>
      </c>
      <c r="N28">
        <f t="shared" si="0"/>
        <v>1260</v>
      </c>
    </row>
    <row r="29" spans="1:14" x14ac:dyDescent="0.3">
      <c r="A29" t="s">
        <v>154</v>
      </c>
      <c r="B29" s="4">
        <v>46044</v>
      </c>
      <c r="C29" t="s">
        <v>155</v>
      </c>
      <c r="D29" t="s">
        <v>156</v>
      </c>
      <c r="E29" t="s">
        <v>18</v>
      </c>
      <c r="F29" t="s">
        <v>72</v>
      </c>
      <c r="G29" t="s">
        <v>49</v>
      </c>
      <c r="H29" t="s">
        <v>50</v>
      </c>
      <c r="I29" t="s">
        <v>51</v>
      </c>
      <c r="J29">
        <v>1</v>
      </c>
      <c r="K29">
        <v>95</v>
      </c>
      <c r="L29" t="s">
        <v>4</v>
      </c>
      <c r="M29" t="s">
        <v>52</v>
      </c>
      <c r="N29">
        <f t="shared" si="0"/>
        <v>95</v>
      </c>
    </row>
    <row r="30" spans="1:14" x14ac:dyDescent="0.3">
      <c r="A30" t="s">
        <v>157</v>
      </c>
      <c r="B30" s="4">
        <v>46040</v>
      </c>
      <c r="C30" t="s">
        <v>158</v>
      </c>
      <c r="D30" t="s">
        <v>159</v>
      </c>
      <c r="E30" t="s">
        <v>18</v>
      </c>
      <c r="F30" t="s">
        <v>48</v>
      </c>
      <c r="G30" t="s">
        <v>79</v>
      </c>
      <c r="H30" t="s">
        <v>11</v>
      </c>
      <c r="I30" t="s">
        <v>57</v>
      </c>
      <c r="J30">
        <v>2</v>
      </c>
      <c r="K30">
        <v>5200</v>
      </c>
      <c r="L30" t="s">
        <v>17</v>
      </c>
      <c r="M30" t="s">
        <v>105</v>
      </c>
      <c r="N30">
        <f t="shared" si="0"/>
        <v>10400</v>
      </c>
    </row>
    <row r="31" spans="1:14" x14ac:dyDescent="0.3">
      <c r="A31" t="s">
        <v>160</v>
      </c>
      <c r="B31" s="4">
        <v>46076</v>
      </c>
      <c r="C31" t="s">
        <v>161</v>
      </c>
      <c r="D31" t="s">
        <v>162</v>
      </c>
      <c r="E31" t="s">
        <v>10</v>
      </c>
      <c r="F31" t="s">
        <v>72</v>
      </c>
      <c r="G31" t="s">
        <v>163</v>
      </c>
      <c r="H31" t="s">
        <v>164</v>
      </c>
      <c r="I31" t="s">
        <v>111</v>
      </c>
      <c r="J31">
        <v>4</v>
      </c>
      <c r="K31">
        <v>240</v>
      </c>
      <c r="L31" t="s">
        <v>17</v>
      </c>
      <c r="M31" t="s">
        <v>58</v>
      </c>
      <c r="N31">
        <f t="shared" si="0"/>
        <v>960</v>
      </c>
    </row>
    <row r="32" spans="1:14" x14ac:dyDescent="0.3">
      <c r="A32" t="s">
        <v>165</v>
      </c>
      <c r="B32" s="4">
        <v>46146</v>
      </c>
      <c r="C32" t="s">
        <v>166</v>
      </c>
      <c r="D32" t="s">
        <v>167</v>
      </c>
      <c r="E32" t="s">
        <v>1</v>
      </c>
      <c r="F32" t="s">
        <v>48</v>
      </c>
      <c r="G32" t="s">
        <v>109</v>
      </c>
      <c r="H32" t="s">
        <v>110</v>
      </c>
      <c r="I32" t="s">
        <v>111</v>
      </c>
      <c r="J32">
        <v>1</v>
      </c>
      <c r="K32">
        <v>320</v>
      </c>
      <c r="L32" t="s">
        <v>7</v>
      </c>
      <c r="M32" t="s">
        <v>105</v>
      </c>
      <c r="N32">
        <f t="shared" si="0"/>
        <v>320</v>
      </c>
    </row>
    <row r="33" spans="1:14" x14ac:dyDescent="0.3">
      <c r="A33" t="s">
        <v>168</v>
      </c>
      <c r="B33" s="4">
        <v>46161</v>
      </c>
      <c r="C33" t="s">
        <v>166</v>
      </c>
      <c r="D33" t="s">
        <v>167</v>
      </c>
      <c r="E33" t="s">
        <v>1</v>
      </c>
      <c r="F33" t="s">
        <v>48</v>
      </c>
      <c r="G33" t="s">
        <v>95</v>
      </c>
      <c r="H33" t="s">
        <v>96</v>
      </c>
      <c r="I33" t="s">
        <v>75</v>
      </c>
      <c r="J33">
        <v>3</v>
      </c>
      <c r="K33">
        <v>682.5</v>
      </c>
      <c r="L33" t="s">
        <v>17</v>
      </c>
      <c r="M33" t="s">
        <v>52</v>
      </c>
      <c r="N33">
        <f t="shared" si="0"/>
        <v>2047.5</v>
      </c>
    </row>
    <row r="34" spans="1:14" x14ac:dyDescent="0.3">
      <c r="A34" t="s">
        <v>169</v>
      </c>
      <c r="B34" s="4">
        <v>46093</v>
      </c>
      <c r="C34" t="s">
        <v>170</v>
      </c>
      <c r="D34" t="s">
        <v>171</v>
      </c>
      <c r="E34" t="s">
        <v>15</v>
      </c>
      <c r="F34" t="s">
        <v>72</v>
      </c>
      <c r="G34" t="s">
        <v>56</v>
      </c>
      <c r="H34" t="s">
        <v>3</v>
      </c>
      <c r="I34" t="s">
        <v>57</v>
      </c>
      <c r="J34">
        <v>2</v>
      </c>
      <c r="K34">
        <v>7790</v>
      </c>
      <c r="L34" t="s">
        <v>4</v>
      </c>
      <c r="M34" t="s">
        <v>80</v>
      </c>
      <c r="N34">
        <f t="shared" si="0"/>
        <v>15580</v>
      </c>
    </row>
    <row r="35" spans="1:14" x14ac:dyDescent="0.3">
      <c r="A35" t="s">
        <v>172</v>
      </c>
      <c r="B35" s="4">
        <v>46209</v>
      </c>
      <c r="C35" t="s">
        <v>114</v>
      </c>
      <c r="D35" t="s">
        <v>115</v>
      </c>
      <c r="E35" t="s">
        <v>18</v>
      </c>
      <c r="F35" t="s">
        <v>72</v>
      </c>
      <c r="G35" t="s">
        <v>109</v>
      </c>
      <c r="H35" t="s">
        <v>110</v>
      </c>
      <c r="I35" t="s">
        <v>111</v>
      </c>
      <c r="J35">
        <v>1</v>
      </c>
      <c r="K35">
        <v>320</v>
      </c>
      <c r="L35" t="s">
        <v>9</v>
      </c>
      <c r="M35" t="s">
        <v>58</v>
      </c>
      <c r="N35">
        <f t="shared" si="0"/>
        <v>320</v>
      </c>
    </row>
    <row r="36" spans="1:14" x14ac:dyDescent="0.3">
      <c r="A36" t="s">
        <v>173</v>
      </c>
      <c r="B36" s="4">
        <v>46175</v>
      </c>
      <c r="C36" t="s">
        <v>174</v>
      </c>
      <c r="D36" t="s">
        <v>175</v>
      </c>
      <c r="E36" t="s">
        <v>10</v>
      </c>
      <c r="F36" t="s">
        <v>72</v>
      </c>
      <c r="G36" t="s">
        <v>109</v>
      </c>
      <c r="H36" t="s">
        <v>110</v>
      </c>
      <c r="I36" t="s">
        <v>111</v>
      </c>
      <c r="J36">
        <v>2</v>
      </c>
      <c r="K36">
        <v>304</v>
      </c>
      <c r="L36" t="s">
        <v>14</v>
      </c>
      <c r="M36" t="s">
        <v>105</v>
      </c>
      <c r="N36">
        <f t="shared" si="0"/>
        <v>608</v>
      </c>
    </row>
    <row r="37" spans="1:14" x14ac:dyDescent="0.3">
      <c r="A37" t="s">
        <v>176</v>
      </c>
      <c r="B37" s="4">
        <v>46070</v>
      </c>
      <c r="C37" t="s">
        <v>140</v>
      </c>
      <c r="D37" t="s">
        <v>141</v>
      </c>
      <c r="E37" t="s">
        <v>1</v>
      </c>
      <c r="F37" t="s">
        <v>48</v>
      </c>
      <c r="G37" t="s">
        <v>73</v>
      </c>
      <c r="H37" t="s">
        <v>74</v>
      </c>
      <c r="I37" t="s">
        <v>75</v>
      </c>
      <c r="J37">
        <v>1</v>
      </c>
      <c r="K37">
        <v>420</v>
      </c>
      <c r="L37" t="s">
        <v>7</v>
      </c>
      <c r="M37" t="s">
        <v>52</v>
      </c>
      <c r="N37">
        <f t="shared" si="0"/>
        <v>420</v>
      </c>
    </row>
    <row r="38" spans="1:14" x14ac:dyDescent="0.3">
      <c r="A38" t="s">
        <v>177</v>
      </c>
      <c r="B38" s="4">
        <v>46110</v>
      </c>
      <c r="C38" t="s">
        <v>178</v>
      </c>
      <c r="D38" t="s">
        <v>179</v>
      </c>
      <c r="E38" t="s">
        <v>10</v>
      </c>
      <c r="F38" t="s">
        <v>48</v>
      </c>
      <c r="G38" t="s">
        <v>61</v>
      </c>
      <c r="H38" t="s">
        <v>62</v>
      </c>
      <c r="I38" t="s">
        <v>63</v>
      </c>
      <c r="J38">
        <v>4</v>
      </c>
      <c r="K38">
        <v>110</v>
      </c>
      <c r="L38" t="s">
        <v>7</v>
      </c>
      <c r="M38" t="s">
        <v>105</v>
      </c>
      <c r="N38">
        <f t="shared" si="0"/>
        <v>440</v>
      </c>
    </row>
    <row r="39" spans="1:14" x14ac:dyDescent="0.3">
      <c r="A39" t="s">
        <v>180</v>
      </c>
      <c r="B39" s="4">
        <v>46144</v>
      </c>
      <c r="C39" t="s">
        <v>181</v>
      </c>
      <c r="D39" t="s">
        <v>182</v>
      </c>
      <c r="E39" t="s">
        <v>18</v>
      </c>
      <c r="F39" t="s">
        <v>72</v>
      </c>
      <c r="G39" t="s">
        <v>183</v>
      </c>
      <c r="H39" t="s">
        <v>184</v>
      </c>
      <c r="I39" t="s">
        <v>111</v>
      </c>
      <c r="J39">
        <v>1</v>
      </c>
      <c r="K39">
        <v>189</v>
      </c>
      <c r="L39" t="s">
        <v>14</v>
      </c>
      <c r="M39" t="s">
        <v>80</v>
      </c>
      <c r="N39">
        <f t="shared" si="0"/>
        <v>189</v>
      </c>
    </row>
    <row r="40" spans="1:14" x14ac:dyDescent="0.3">
      <c r="A40" t="s">
        <v>185</v>
      </c>
      <c r="B40" s="4">
        <v>46223</v>
      </c>
      <c r="C40" t="s">
        <v>186</v>
      </c>
      <c r="D40" t="s">
        <v>187</v>
      </c>
      <c r="E40" t="s">
        <v>6</v>
      </c>
      <c r="F40" t="s">
        <v>72</v>
      </c>
      <c r="G40" t="s">
        <v>183</v>
      </c>
      <c r="H40" t="s">
        <v>184</v>
      </c>
      <c r="I40" t="s">
        <v>111</v>
      </c>
      <c r="J40">
        <v>8</v>
      </c>
      <c r="K40">
        <v>171</v>
      </c>
      <c r="L40" t="s">
        <v>14</v>
      </c>
      <c r="M40" t="s">
        <v>52</v>
      </c>
      <c r="N40">
        <f t="shared" si="0"/>
        <v>1368</v>
      </c>
    </row>
    <row r="41" spans="1:14" x14ac:dyDescent="0.3">
      <c r="A41" t="s">
        <v>188</v>
      </c>
      <c r="B41" s="4">
        <v>46183</v>
      </c>
      <c r="C41" t="s">
        <v>189</v>
      </c>
      <c r="D41" t="s">
        <v>190</v>
      </c>
      <c r="E41" t="s">
        <v>6</v>
      </c>
      <c r="F41" t="s">
        <v>72</v>
      </c>
      <c r="G41" t="s">
        <v>136</v>
      </c>
      <c r="H41" t="s">
        <v>137</v>
      </c>
      <c r="I41" t="s">
        <v>111</v>
      </c>
      <c r="J41">
        <v>1</v>
      </c>
      <c r="K41">
        <v>85</v>
      </c>
      <c r="L41" t="s">
        <v>4</v>
      </c>
      <c r="M41" t="s">
        <v>58</v>
      </c>
      <c r="N41">
        <f t="shared" si="0"/>
        <v>85</v>
      </c>
    </row>
    <row r="42" spans="1:14" x14ac:dyDescent="0.3">
      <c r="A42" t="s">
        <v>191</v>
      </c>
      <c r="B42" s="4">
        <v>46143</v>
      </c>
      <c r="C42" t="s">
        <v>192</v>
      </c>
      <c r="D42" t="s">
        <v>193</v>
      </c>
      <c r="E42" t="s">
        <v>18</v>
      </c>
      <c r="F42" t="s">
        <v>72</v>
      </c>
      <c r="G42" t="s">
        <v>79</v>
      </c>
      <c r="H42" t="s">
        <v>11</v>
      </c>
      <c r="I42" t="s">
        <v>57</v>
      </c>
      <c r="J42">
        <v>3</v>
      </c>
      <c r="K42">
        <v>5200</v>
      </c>
      <c r="L42" t="s">
        <v>9</v>
      </c>
      <c r="M42" t="s">
        <v>58</v>
      </c>
      <c r="N42">
        <f t="shared" si="0"/>
        <v>15600</v>
      </c>
    </row>
    <row r="43" spans="1:14" x14ac:dyDescent="0.3">
      <c r="A43" t="s">
        <v>194</v>
      </c>
      <c r="B43" s="4">
        <v>46103</v>
      </c>
      <c r="C43" t="s">
        <v>46</v>
      </c>
      <c r="D43" t="s">
        <v>47</v>
      </c>
      <c r="E43" t="s">
        <v>1</v>
      </c>
      <c r="F43" t="s">
        <v>48</v>
      </c>
      <c r="G43" t="s">
        <v>123</v>
      </c>
      <c r="H43" t="s">
        <v>124</v>
      </c>
      <c r="I43" t="s">
        <v>111</v>
      </c>
      <c r="J43">
        <v>1</v>
      </c>
      <c r="K43">
        <v>152</v>
      </c>
      <c r="L43" t="s">
        <v>7</v>
      </c>
      <c r="M43" t="s">
        <v>105</v>
      </c>
      <c r="N43">
        <f t="shared" si="0"/>
        <v>152</v>
      </c>
    </row>
    <row r="44" spans="1:14" x14ac:dyDescent="0.3">
      <c r="A44" t="s">
        <v>195</v>
      </c>
      <c r="B44" s="4">
        <v>46043</v>
      </c>
      <c r="C44" t="s">
        <v>196</v>
      </c>
      <c r="D44" t="s">
        <v>21</v>
      </c>
      <c r="E44" t="s">
        <v>18</v>
      </c>
      <c r="F44" t="s">
        <v>48</v>
      </c>
      <c r="G44" t="s">
        <v>79</v>
      </c>
      <c r="H44" t="s">
        <v>11</v>
      </c>
      <c r="I44" t="s">
        <v>57</v>
      </c>
      <c r="J44">
        <v>3</v>
      </c>
      <c r="K44">
        <v>5200</v>
      </c>
      <c r="L44" t="s">
        <v>14</v>
      </c>
      <c r="M44" t="s">
        <v>80</v>
      </c>
      <c r="N44">
        <f t="shared" si="0"/>
        <v>15600</v>
      </c>
    </row>
    <row r="45" spans="1:14" x14ac:dyDescent="0.3">
      <c r="A45" t="s">
        <v>197</v>
      </c>
      <c r="B45" s="4">
        <v>46227</v>
      </c>
      <c r="C45" t="s">
        <v>198</v>
      </c>
      <c r="D45" t="s">
        <v>199</v>
      </c>
      <c r="E45" t="s">
        <v>6</v>
      </c>
      <c r="F45" t="s">
        <v>72</v>
      </c>
      <c r="G45" t="s">
        <v>67</v>
      </c>
      <c r="H45" t="s">
        <v>8</v>
      </c>
      <c r="I45" t="s">
        <v>68</v>
      </c>
      <c r="J45">
        <v>10</v>
      </c>
      <c r="K45">
        <v>1377.5</v>
      </c>
      <c r="L45" t="s">
        <v>7</v>
      </c>
      <c r="M45" t="s">
        <v>105</v>
      </c>
      <c r="N45">
        <f t="shared" si="0"/>
        <v>13775</v>
      </c>
    </row>
    <row r="46" spans="1:14" x14ac:dyDescent="0.3">
      <c r="A46" t="s">
        <v>200</v>
      </c>
      <c r="B46" s="4">
        <v>46041</v>
      </c>
      <c r="C46" t="s">
        <v>77</v>
      </c>
      <c r="D46" t="s">
        <v>78</v>
      </c>
      <c r="E46" t="s">
        <v>6</v>
      </c>
      <c r="F46" t="s">
        <v>72</v>
      </c>
      <c r="G46" t="s">
        <v>201</v>
      </c>
      <c r="H46" t="s">
        <v>202</v>
      </c>
      <c r="I46" t="s">
        <v>63</v>
      </c>
      <c r="J46">
        <v>2</v>
      </c>
      <c r="K46">
        <v>480</v>
      </c>
      <c r="L46" t="s">
        <v>14</v>
      </c>
      <c r="M46" t="s">
        <v>105</v>
      </c>
      <c r="N46">
        <f t="shared" si="0"/>
        <v>960</v>
      </c>
    </row>
    <row r="47" spans="1:14" x14ac:dyDescent="0.3">
      <c r="A47" t="s">
        <v>203</v>
      </c>
      <c r="B47" s="4">
        <v>46051</v>
      </c>
      <c r="C47" t="s">
        <v>204</v>
      </c>
      <c r="D47" t="s">
        <v>71</v>
      </c>
      <c r="E47" t="s">
        <v>15</v>
      </c>
      <c r="F47" t="s">
        <v>90</v>
      </c>
      <c r="G47" t="s">
        <v>205</v>
      </c>
      <c r="H47" t="s">
        <v>206</v>
      </c>
      <c r="I47" t="s">
        <v>51</v>
      </c>
      <c r="J47">
        <v>2</v>
      </c>
      <c r="K47">
        <v>590</v>
      </c>
      <c r="L47" t="s">
        <v>2</v>
      </c>
      <c r="M47" t="s">
        <v>105</v>
      </c>
      <c r="N47">
        <f t="shared" si="0"/>
        <v>1180</v>
      </c>
    </row>
    <row r="48" spans="1:14" x14ac:dyDescent="0.3">
      <c r="A48" t="s">
        <v>207</v>
      </c>
      <c r="B48" s="4">
        <v>46135</v>
      </c>
      <c r="C48" t="s">
        <v>158</v>
      </c>
      <c r="D48" t="s">
        <v>159</v>
      </c>
      <c r="E48" t="s">
        <v>18</v>
      </c>
      <c r="F48" t="s">
        <v>48</v>
      </c>
      <c r="G48" t="s">
        <v>208</v>
      </c>
      <c r="H48" t="s">
        <v>22</v>
      </c>
      <c r="I48" t="s">
        <v>68</v>
      </c>
      <c r="J48">
        <v>1</v>
      </c>
      <c r="K48">
        <v>2310</v>
      </c>
      <c r="L48" t="s">
        <v>2</v>
      </c>
      <c r="M48" t="s">
        <v>80</v>
      </c>
      <c r="N48">
        <f t="shared" si="0"/>
        <v>2310</v>
      </c>
    </row>
    <row r="49" spans="1:14" x14ac:dyDescent="0.3">
      <c r="A49" t="s">
        <v>209</v>
      </c>
      <c r="B49" s="4">
        <v>46222</v>
      </c>
      <c r="C49" t="s">
        <v>210</v>
      </c>
      <c r="D49" t="s">
        <v>211</v>
      </c>
      <c r="E49" t="s">
        <v>19</v>
      </c>
      <c r="F49" t="s">
        <v>48</v>
      </c>
      <c r="G49" t="s">
        <v>49</v>
      </c>
      <c r="H49" t="s">
        <v>50</v>
      </c>
      <c r="I49" t="s">
        <v>51</v>
      </c>
      <c r="J49">
        <v>2</v>
      </c>
      <c r="K49">
        <v>95</v>
      </c>
      <c r="L49" t="s">
        <v>2</v>
      </c>
      <c r="M49" t="s">
        <v>80</v>
      </c>
      <c r="N49">
        <f t="shared" si="0"/>
        <v>190</v>
      </c>
    </row>
    <row r="50" spans="1:14" x14ac:dyDescent="0.3">
      <c r="A50" t="s">
        <v>212</v>
      </c>
      <c r="B50" s="4">
        <v>46236</v>
      </c>
      <c r="C50" t="s">
        <v>107</v>
      </c>
      <c r="D50" t="s">
        <v>108</v>
      </c>
      <c r="E50" t="s">
        <v>1</v>
      </c>
      <c r="F50" t="s">
        <v>72</v>
      </c>
      <c r="G50" t="s">
        <v>56</v>
      </c>
      <c r="H50" t="s">
        <v>3</v>
      </c>
      <c r="I50" t="s">
        <v>57</v>
      </c>
      <c r="J50">
        <v>6</v>
      </c>
      <c r="K50">
        <v>8200</v>
      </c>
      <c r="L50" t="s">
        <v>4</v>
      </c>
      <c r="M50" t="s">
        <v>52</v>
      </c>
      <c r="N50">
        <f t="shared" si="0"/>
        <v>49200</v>
      </c>
    </row>
    <row r="51" spans="1:14" x14ac:dyDescent="0.3">
      <c r="A51" t="s">
        <v>213</v>
      </c>
      <c r="B51" s="4">
        <v>46169</v>
      </c>
      <c r="C51" t="s">
        <v>143</v>
      </c>
      <c r="D51" t="s">
        <v>144</v>
      </c>
      <c r="E51" t="s">
        <v>15</v>
      </c>
      <c r="F51" t="s">
        <v>48</v>
      </c>
      <c r="G51" t="s">
        <v>73</v>
      </c>
      <c r="H51" t="s">
        <v>74</v>
      </c>
      <c r="I51" t="s">
        <v>75</v>
      </c>
      <c r="J51">
        <v>3</v>
      </c>
      <c r="K51">
        <v>420</v>
      </c>
      <c r="L51" t="s">
        <v>7</v>
      </c>
      <c r="M51" t="s">
        <v>58</v>
      </c>
      <c r="N51">
        <f t="shared" si="0"/>
        <v>1260</v>
      </c>
    </row>
    <row r="52" spans="1:14" x14ac:dyDescent="0.3">
      <c r="A52" t="s">
        <v>214</v>
      </c>
      <c r="B52" s="4">
        <v>46070</v>
      </c>
      <c r="C52" t="s">
        <v>215</v>
      </c>
      <c r="D52" t="s">
        <v>12</v>
      </c>
      <c r="E52" t="s">
        <v>10</v>
      </c>
      <c r="F52" t="s">
        <v>72</v>
      </c>
      <c r="G52" t="s">
        <v>61</v>
      </c>
      <c r="H52" t="s">
        <v>62</v>
      </c>
      <c r="I52" t="s">
        <v>63</v>
      </c>
      <c r="J52">
        <v>2</v>
      </c>
      <c r="K52">
        <v>110</v>
      </c>
      <c r="L52" t="s">
        <v>7</v>
      </c>
      <c r="M52" t="s">
        <v>80</v>
      </c>
      <c r="N52">
        <f t="shared" si="0"/>
        <v>220</v>
      </c>
    </row>
    <row r="53" spans="1:14" x14ac:dyDescent="0.3">
      <c r="A53" t="s">
        <v>216</v>
      </c>
      <c r="B53" s="4">
        <v>46166</v>
      </c>
      <c r="C53" t="s">
        <v>152</v>
      </c>
      <c r="D53" t="s">
        <v>153</v>
      </c>
      <c r="E53" t="s">
        <v>15</v>
      </c>
      <c r="F53" t="s">
        <v>48</v>
      </c>
      <c r="G53" t="s">
        <v>91</v>
      </c>
      <c r="H53" t="s">
        <v>13</v>
      </c>
      <c r="I53" t="s">
        <v>57</v>
      </c>
      <c r="J53">
        <v>1</v>
      </c>
      <c r="K53">
        <v>3100</v>
      </c>
      <c r="L53" t="s">
        <v>14</v>
      </c>
      <c r="M53" t="s">
        <v>52</v>
      </c>
      <c r="N53">
        <f t="shared" si="0"/>
        <v>3100</v>
      </c>
    </row>
    <row r="54" spans="1:14" x14ac:dyDescent="0.3">
      <c r="A54" t="s">
        <v>217</v>
      </c>
      <c r="B54" s="4">
        <v>46149</v>
      </c>
      <c r="C54" t="s">
        <v>218</v>
      </c>
      <c r="D54" t="s">
        <v>219</v>
      </c>
      <c r="E54" t="s">
        <v>18</v>
      </c>
      <c r="F54" t="s">
        <v>72</v>
      </c>
      <c r="G54" t="s">
        <v>95</v>
      </c>
      <c r="H54" t="s">
        <v>96</v>
      </c>
      <c r="I54" t="s">
        <v>75</v>
      </c>
      <c r="J54">
        <v>2</v>
      </c>
      <c r="K54">
        <v>650</v>
      </c>
      <c r="L54" t="s">
        <v>2</v>
      </c>
      <c r="M54" t="s">
        <v>105</v>
      </c>
      <c r="N54">
        <f t="shared" si="0"/>
        <v>1300</v>
      </c>
    </row>
    <row r="55" spans="1:14" x14ac:dyDescent="0.3">
      <c r="A55" t="s">
        <v>220</v>
      </c>
      <c r="B55" s="4">
        <v>46138</v>
      </c>
      <c r="C55" t="s">
        <v>82</v>
      </c>
      <c r="D55" t="s">
        <v>83</v>
      </c>
      <c r="E55" t="s">
        <v>10</v>
      </c>
      <c r="F55" t="s">
        <v>72</v>
      </c>
      <c r="G55" t="s">
        <v>205</v>
      </c>
      <c r="H55" t="s">
        <v>206</v>
      </c>
      <c r="I55" t="s">
        <v>51</v>
      </c>
      <c r="J55">
        <v>4</v>
      </c>
      <c r="K55">
        <v>560.5</v>
      </c>
      <c r="L55" t="s">
        <v>7</v>
      </c>
      <c r="M55" t="s">
        <v>52</v>
      </c>
      <c r="N55">
        <f t="shared" si="0"/>
        <v>2242</v>
      </c>
    </row>
    <row r="56" spans="1:14" x14ac:dyDescent="0.3">
      <c r="A56" t="s">
        <v>221</v>
      </c>
      <c r="B56" s="4">
        <v>46102</v>
      </c>
      <c r="C56" t="s">
        <v>117</v>
      </c>
      <c r="D56" t="s">
        <v>118</v>
      </c>
      <c r="E56" t="s">
        <v>19</v>
      </c>
      <c r="F56" t="s">
        <v>48</v>
      </c>
      <c r="G56" t="s">
        <v>56</v>
      </c>
      <c r="H56" t="s">
        <v>3</v>
      </c>
      <c r="I56" t="s">
        <v>57</v>
      </c>
      <c r="J56">
        <v>3</v>
      </c>
      <c r="K56">
        <v>8200</v>
      </c>
      <c r="L56" t="s">
        <v>4</v>
      </c>
      <c r="M56" t="s">
        <v>80</v>
      </c>
      <c r="N56">
        <f t="shared" si="0"/>
        <v>24600</v>
      </c>
    </row>
    <row r="57" spans="1:14" x14ac:dyDescent="0.3">
      <c r="A57" t="s">
        <v>222</v>
      </c>
      <c r="B57" s="4">
        <v>46108</v>
      </c>
      <c r="C57" t="s">
        <v>223</v>
      </c>
      <c r="D57" t="s">
        <v>224</v>
      </c>
      <c r="E57" t="s">
        <v>18</v>
      </c>
      <c r="F57" t="s">
        <v>72</v>
      </c>
      <c r="G57" t="s">
        <v>49</v>
      </c>
      <c r="H57" t="s">
        <v>50</v>
      </c>
      <c r="I57" t="s">
        <v>51</v>
      </c>
      <c r="J57">
        <v>2</v>
      </c>
      <c r="K57">
        <v>95</v>
      </c>
      <c r="L57" t="s">
        <v>7</v>
      </c>
      <c r="M57" t="s">
        <v>80</v>
      </c>
      <c r="N57">
        <f t="shared" si="0"/>
        <v>190</v>
      </c>
    </row>
    <row r="58" spans="1:14" x14ac:dyDescent="0.3">
      <c r="A58" t="s">
        <v>225</v>
      </c>
      <c r="B58" s="4">
        <v>46054</v>
      </c>
      <c r="C58" t="s">
        <v>181</v>
      </c>
      <c r="D58" t="s">
        <v>182</v>
      </c>
      <c r="E58" t="s">
        <v>18</v>
      </c>
      <c r="F58" t="s">
        <v>72</v>
      </c>
      <c r="G58" t="s">
        <v>56</v>
      </c>
      <c r="H58" t="s">
        <v>3</v>
      </c>
      <c r="I58" t="s">
        <v>57</v>
      </c>
      <c r="J58">
        <v>3</v>
      </c>
      <c r="K58">
        <v>8200</v>
      </c>
      <c r="L58" t="s">
        <v>14</v>
      </c>
      <c r="M58" t="s">
        <v>52</v>
      </c>
      <c r="N58">
        <f t="shared" si="0"/>
        <v>24600</v>
      </c>
    </row>
    <row r="59" spans="1:14" x14ac:dyDescent="0.3">
      <c r="A59" t="s">
        <v>226</v>
      </c>
      <c r="B59" s="4">
        <v>46213</v>
      </c>
      <c r="C59" t="s">
        <v>227</v>
      </c>
      <c r="D59" t="s">
        <v>228</v>
      </c>
      <c r="E59" t="s">
        <v>1</v>
      </c>
      <c r="F59" t="s">
        <v>90</v>
      </c>
      <c r="G59" t="s">
        <v>79</v>
      </c>
      <c r="H59" t="s">
        <v>11</v>
      </c>
      <c r="I59" t="s">
        <v>57</v>
      </c>
      <c r="J59">
        <v>2</v>
      </c>
      <c r="K59">
        <v>5460</v>
      </c>
      <c r="L59" t="s">
        <v>17</v>
      </c>
      <c r="M59" t="s">
        <v>80</v>
      </c>
      <c r="N59">
        <f t="shared" si="0"/>
        <v>10920</v>
      </c>
    </row>
    <row r="60" spans="1:14" x14ac:dyDescent="0.3">
      <c r="A60" t="s">
        <v>229</v>
      </c>
      <c r="B60" s="4">
        <v>46099</v>
      </c>
      <c r="C60" t="s">
        <v>230</v>
      </c>
      <c r="D60" t="s">
        <v>231</v>
      </c>
      <c r="E60" t="s">
        <v>1</v>
      </c>
      <c r="F60" t="s">
        <v>48</v>
      </c>
      <c r="G60" t="s">
        <v>79</v>
      </c>
      <c r="H60" t="s">
        <v>11</v>
      </c>
      <c r="I60" t="s">
        <v>57</v>
      </c>
      <c r="J60">
        <v>1</v>
      </c>
      <c r="K60">
        <v>5200</v>
      </c>
      <c r="L60" t="s">
        <v>7</v>
      </c>
      <c r="M60" t="s">
        <v>58</v>
      </c>
      <c r="N60">
        <f t="shared" si="0"/>
        <v>5200</v>
      </c>
    </row>
    <row r="61" spans="1:14" x14ac:dyDescent="0.3">
      <c r="A61" t="s">
        <v>232</v>
      </c>
      <c r="B61" s="4">
        <v>46056</v>
      </c>
      <c r="C61" t="s">
        <v>158</v>
      </c>
      <c r="D61" t="s">
        <v>159</v>
      </c>
      <c r="E61" t="s">
        <v>18</v>
      </c>
      <c r="F61" t="s">
        <v>48</v>
      </c>
      <c r="G61" t="s">
        <v>49</v>
      </c>
      <c r="H61" t="s">
        <v>50</v>
      </c>
      <c r="I61" t="s">
        <v>51</v>
      </c>
      <c r="J61">
        <v>1</v>
      </c>
      <c r="K61">
        <v>90.25</v>
      </c>
      <c r="L61" t="s">
        <v>17</v>
      </c>
      <c r="M61" t="s">
        <v>80</v>
      </c>
      <c r="N61">
        <f t="shared" si="0"/>
        <v>90.25</v>
      </c>
    </row>
    <row r="62" spans="1:14" x14ac:dyDescent="0.3">
      <c r="A62" t="s">
        <v>233</v>
      </c>
      <c r="B62" s="4">
        <v>46187</v>
      </c>
      <c r="C62" t="s">
        <v>234</v>
      </c>
      <c r="D62" t="s">
        <v>235</v>
      </c>
      <c r="E62" t="s">
        <v>15</v>
      </c>
      <c r="F62" t="s">
        <v>90</v>
      </c>
      <c r="G62" t="s">
        <v>208</v>
      </c>
      <c r="H62" t="s">
        <v>22</v>
      </c>
      <c r="I62" t="s">
        <v>68</v>
      </c>
      <c r="J62">
        <v>5</v>
      </c>
      <c r="K62">
        <v>2200</v>
      </c>
      <c r="L62" t="s">
        <v>14</v>
      </c>
      <c r="M62" t="s">
        <v>58</v>
      </c>
      <c r="N62">
        <f t="shared" si="0"/>
        <v>11000</v>
      </c>
    </row>
    <row r="63" spans="1:14" x14ac:dyDescent="0.3">
      <c r="A63" t="s">
        <v>236</v>
      </c>
      <c r="B63" s="4">
        <v>46144</v>
      </c>
      <c r="C63" t="s">
        <v>237</v>
      </c>
      <c r="D63" t="s">
        <v>238</v>
      </c>
      <c r="E63" t="s">
        <v>10</v>
      </c>
      <c r="F63" t="s">
        <v>72</v>
      </c>
      <c r="G63" t="s">
        <v>239</v>
      </c>
      <c r="H63" t="s">
        <v>240</v>
      </c>
      <c r="I63" t="s">
        <v>63</v>
      </c>
      <c r="J63">
        <v>2</v>
      </c>
      <c r="K63">
        <v>720</v>
      </c>
      <c r="L63" t="s">
        <v>9</v>
      </c>
      <c r="M63" t="s">
        <v>58</v>
      </c>
      <c r="N63">
        <f t="shared" si="0"/>
        <v>1440</v>
      </c>
    </row>
    <row r="64" spans="1:14" x14ac:dyDescent="0.3">
      <c r="A64" t="s">
        <v>241</v>
      </c>
      <c r="B64" s="4">
        <v>46053</v>
      </c>
      <c r="C64" t="s">
        <v>181</v>
      </c>
      <c r="D64" t="s">
        <v>182</v>
      </c>
      <c r="E64" t="s">
        <v>18</v>
      </c>
      <c r="F64" t="s">
        <v>72</v>
      </c>
      <c r="G64" t="s">
        <v>205</v>
      </c>
      <c r="H64" t="s">
        <v>206</v>
      </c>
      <c r="I64" t="s">
        <v>51</v>
      </c>
      <c r="J64">
        <v>4</v>
      </c>
      <c r="K64">
        <v>590</v>
      </c>
      <c r="L64" t="s">
        <v>4</v>
      </c>
      <c r="M64" t="s">
        <v>58</v>
      </c>
      <c r="N64">
        <f t="shared" si="0"/>
        <v>2360</v>
      </c>
    </row>
    <row r="65" spans="1:14" x14ac:dyDescent="0.3">
      <c r="A65" t="s">
        <v>242</v>
      </c>
      <c r="B65" s="4">
        <v>46062</v>
      </c>
      <c r="C65" t="s">
        <v>237</v>
      </c>
      <c r="D65" t="s">
        <v>238</v>
      </c>
      <c r="E65" t="s">
        <v>10</v>
      </c>
      <c r="F65" t="s">
        <v>72</v>
      </c>
      <c r="G65" t="s">
        <v>163</v>
      </c>
      <c r="H65" t="s">
        <v>164</v>
      </c>
      <c r="I65" t="s">
        <v>111</v>
      </c>
      <c r="J65">
        <v>1</v>
      </c>
      <c r="K65">
        <v>252</v>
      </c>
      <c r="L65" t="s">
        <v>7</v>
      </c>
      <c r="M65" t="s">
        <v>58</v>
      </c>
      <c r="N65">
        <f t="shared" si="0"/>
        <v>252</v>
      </c>
    </row>
    <row r="66" spans="1:14" x14ac:dyDescent="0.3">
      <c r="A66" t="s">
        <v>243</v>
      </c>
      <c r="B66" s="4">
        <v>46166</v>
      </c>
      <c r="C66" t="s">
        <v>244</v>
      </c>
      <c r="D66" t="s">
        <v>245</v>
      </c>
      <c r="E66" t="s">
        <v>18</v>
      </c>
      <c r="F66" t="s">
        <v>90</v>
      </c>
      <c r="G66" t="s">
        <v>67</v>
      </c>
      <c r="H66" t="s">
        <v>8</v>
      </c>
      <c r="I66" t="s">
        <v>68</v>
      </c>
      <c r="J66">
        <v>4</v>
      </c>
      <c r="K66">
        <v>1522.5</v>
      </c>
      <c r="L66" t="s">
        <v>17</v>
      </c>
      <c r="M66" t="s">
        <v>52</v>
      </c>
      <c r="N66">
        <f t="shared" si="0"/>
        <v>6090</v>
      </c>
    </row>
    <row r="67" spans="1:14" x14ac:dyDescent="0.3">
      <c r="A67" t="s">
        <v>246</v>
      </c>
      <c r="B67" s="4">
        <v>46121</v>
      </c>
      <c r="C67" t="s">
        <v>46</v>
      </c>
      <c r="D67" t="s">
        <v>47</v>
      </c>
      <c r="E67" t="s">
        <v>1</v>
      </c>
      <c r="F67" t="s">
        <v>48</v>
      </c>
      <c r="G67" t="s">
        <v>84</v>
      </c>
      <c r="H67" t="s">
        <v>85</v>
      </c>
      <c r="I67" t="s">
        <v>51</v>
      </c>
      <c r="J67">
        <v>2</v>
      </c>
      <c r="K67">
        <v>760</v>
      </c>
      <c r="L67" t="s">
        <v>7</v>
      </c>
      <c r="M67" t="s">
        <v>105</v>
      </c>
      <c r="N67">
        <f t="shared" ref="N67:N130" si="1">J67*K67</f>
        <v>1520</v>
      </c>
    </row>
    <row r="68" spans="1:14" x14ac:dyDescent="0.3">
      <c r="A68" t="s">
        <v>247</v>
      </c>
      <c r="B68" s="4">
        <v>46180</v>
      </c>
      <c r="C68" t="s">
        <v>248</v>
      </c>
      <c r="D68" t="s">
        <v>94</v>
      </c>
      <c r="E68" t="s">
        <v>15</v>
      </c>
      <c r="F68" t="s">
        <v>90</v>
      </c>
      <c r="G68" t="s">
        <v>163</v>
      </c>
      <c r="H68" t="s">
        <v>164</v>
      </c>
      <c r="I68" t="s">
        <v>111</v>
      </c>
      <c r="J68">
        <v>8</v>
      </c>
      <c r="K68">
        <v>228</v>
      </c>
      <c r="L68" t="s">
        <v>9</v>
      </c>
      <c r="M68" t="s">
        <v>52</v>
      </c>
      <c r="N68">
        <f t="shared" si="1"/>
        <v>1824</v>
      </c>
    </row>
    <row r="69" spans="1:14" x14ac:dyDescent="0.3">
      <c r="A69" t="s">
        <v>249</v>
      </c>
      <c r="B69" s="4">
        <v>46064</v>
      </c>
      <c r="C69" t="s">
        <v>250</v>
      </c>
      <c r="D69" t="s">
        <v>251</v>
      </c>
      <c r="E69" t="s">
        <v>1</v>
      </c>
      <c r="F69" t="s">
        <v>48</v>
      </c>
      <c r="G69" t="s">
        <v>183</v>
      </c>
      <c r="H69" t="s">
        <v>184</v>
      </c>
      <c r="I69" t="s">
        <v>111</v>
      </c>
      <c r="J69">
        <v>1</v>
      </c>
      <c r="K69">
        <v>189</v>
      </c>
      <c r="L69" t="s">
        <v>14</v>
      </c>
      <c r="M69" t="s">
        <v>52</v>
      </c>
      <c r="N69">
        <f t="shared" si="1"/>
        <v>189</v>
      </c>
    </row>
    <row r="70" spans="1:14" x14ac:dyDescent="0.3">
      <c r="A70" t="s">
        <v>252</v>
      </c>
      <c r="B70" s="4">
        <v>46139</v>
      </c>
      <c r="C70" t="s">
        <v>253</v>
      </c>
      <c r="D70" t="s">
        <v>254</v>
      </c>
      <c r="E70" t="s">
        <v>6</v>
      </c>
      <c r="F70" t="s">
        <v>72</v>
      </c>
      <c r="G70" t="s">
        <v>95</v>
      </c>
      <c r="H70" t="s">
        <v>96</v>
      </c>
      <c r="I70" t="s">
        <v>75</v>
      </c>
      <c r="J70">
        <v>3</v>
      </c>
      <c r="K70">
        <v>650</v>
      </c>
      <c r="L70" t="s">
        <v>7</v>
      </c>
      <c r="M70" t="s">
        <v>58</v>
      </c>
      <c r="N70">
        <f t="shared" si="1"/>
        <v>1950</v>
      </c>
    </row>
    <row r="71" spans="1:14" x14ac:dyDescent="0.3">
      <c r="A71" t="s">
        <v>255</v>
      </c>
      <c r="B71" s="4">
        <v>46204</v>
      </c>
      <c r="C71" t="s">
        <v>256</v>
      </c>
      <c r="D71" t="s">
        <v>199</v>
      </c>
      <c r="E71" t="s">
        <v>19</v>
      </c>
      <c r="F71" t="s">
        <v>72</v>
      </c>
      <c r="G71" t="s">
        <v>239</v>
      </c>
      <c r="H71" t="s">
        <v>240</v>
      </c>
      <c r="I71" t="s">
        <v>63</v>
      </c>
      <c r="J71">
        <v>1</v>
      </c>
      <c r="K71">
        <v>720</v>
      </c>
      <c r="L71" t="s">
        <v>14</v>
      </c>
      <c r="M71" t="s">
        <v>52</v>
      </c>
      <c r="N71">
        <f t="shared" si="1"/>
        <v>720</v>
      </c>
    </row>
    <row r="72" spans="1:14" x14ac:dyDescent="0.3">
      <c r="A72" t="s">
        <v>257</v>
      </c>
      <c r="B72" s="4">
        <v>46225</v>
      </c>
      <c r="C72" t="s">
        <v>54</v>
      </c>
      <c r="D72" t="s">
        <v>55</v>
      </c>
      <c r="E72" t="s">
        <v>1</v>
      </c>
      <c r="F72" t="s">
        <v>48</v>
      </c>
      <c r="G72" t="s">
        <v>91</v>
      </c>
      <c r="H72" t="s">
        <v>13</v>
      </c>
      <c r="I72" t="s">
        <v>57</v>
      </c>
      <c r="J72">
        <v>4</v>
      </c>
      <c r="K72">
        <v>3255</v>
      </c>
      <c r="L72" t="s">
        <v>2</v>
      </c>
      <c r="M72" t="s">
        <v>52</v>
      </c>
      <c r="N72">
        <f t="shared" si="1"/>
        <v>13020</v>
      </c>
    </row>
    <row r="73" spans="1:14" x14ac:dyDescent="0.3">
      <c r="A73" t="s">
        <v>258</v>
      </c>
      <c r="B73" s="4">
        <v>46163</v>
      </c>
      <c r="C73" t="s">
        <v>223</v>
      </c>
      <c r="D73" t="s">
        <v>224</v>
      </c>
      <c r="E73" t="s">
        <v>18</v>
      </c>
      <c r="F73" t="s">
        <v>72</v>
      </c>
      <c r="G73" t="s">
        <v>67</v>
      </c>
      <c r="H73" t="s">
        <v>8</v>
      </c>
      <c r="I73" t="s">
        <v>68</v>
      </c>
      <c r="J73">
        <v>1</v>
      </c>
      <c r="K73">
        <v>1450</v>
      </c>
      <c r="L73" t="s">
        <v>7</v>
      </c>
      <c r="M73" t="s">
        <v>52</v>
      </c>
      <c r="N73">
        <f t="shared" si="1"/>
        <v>1450</v>
      </c>
    </row>
    <row r="74" spans="1:14" x14ac:dyDescent="0.3">
      <c r="A74" t="s">
        <v>259</v>
      </c>
      <c r="B74" s="4">
        <v>46066</v>
      </c>
      <c r="C74" t="s">
        <v>260</v>
      </c>
      <c r="D74" t="s">
        <v>261</v>
      </c>
      <c r="E74" t="s">
        <v>1</v>
      </c>
      <c r="F74" t="s">
        <v>48</v>
      </c>
      <c r="G74" t="s">
        <v>163</v>
      </c>
      <c r="H74" t="s">
        <v>164</v>
      </c>
      <c r="I74" t="s">
        <v>111</v>
      </c>
      <c r="J74">
        <v>4</v>
      </c>
      <c r="K74">
        <v>252</v>
      </c>
      <c r="L74" t="s">
        <v>2</v>
      </c>
      <c r="M74" t="s">
        <v>80</v>
      </c>
      <c r="N74">
        <f t="shared" si="1"/>
        <v>1008</v>
      </c>
    </row>
    <row r="75" spans="1:14" x14ac:dyDescent="0.3">
      <c r="A75" t="s">
        <v>262</v>
      </c>
      <c r="B75" s="4">
        <v>46143</v>
      </c>
      <c r="C75" t="s">
        <v>263</v>
      </c>
      <c r="D75" t="s">
        <v>264</v>
      </c>
      <c r="E75" t="s">
        <v>1</v>
      </c>
      <c r="F75" t="s">
        <v>72</v>
      </c>
      <c r="G75" t="s">
        <v>67</v>
      </c>
      <c r="H75" t="s">
        <v>8</v>
      </c>
      <c r="I75" t="s">
        <v>68</v>
      </c>
      <c r="J75">
        <v>3</v>
      </c>
      <c r="K75">
        <v>1450</v>
      </c>
      <c r="L75" t="s">
        <v>7</v>
      </c>
      <c r="M75" t="s">
        <v>105</v>
      </c>
      <c r="N75">
        <f t="shared" si="1"/>
        <v>4350</v>
      </c>
    </row>
    <row r="76" spans="1:14" x14ac:dyDescent="0.3">
      <c r="A76" t="s">
        <v>265</v>
      </c>
      <c r="B76" s="4">
        <v>46177</v>
      </c>
      <c r="C76" t="s">
        <v>263</v>
      </c>
      <c r="D76" t="s">
        <v>264</v>
      </c>
      <c r="E76" t="s">
        <v>1</v>
      </c>
      <c r="F76" t="s">
        <v>72</v>
      </c>
      <c r="G76" t="s">
        <v>183</v>
      </c>
      <c r="H76" t="s">
        <v>184</v>
      </c>
      <c r="I76" t="s">
        <v>111</v>
      </c>
      <c r="J76">
        <v>1</v>
      </c>
      <c r="K76">
        <v>180</v>
      </c>
      <c r="L76" t="s">
        <v>2</v>
      </c>
      <c r="M76" t="s">
        <v>80</v>
      </c>
      <c r="N76">
        <f t="shared" si="1"/>
        <v>180</v>
      </c>
    </row>
    <row r="77" spans="1:14" x14ac:dyDescent="0.3">
      <c r="A77" t="s">
        <v>266</v>
      </c>
      <c r="B77" s="4">
        <v>46030</v>
      </c>
      <c r="C77" t="s">
        <v>267</v>
      </c>
      <c r="D77" t="s">
        <v>268</v>
      </c>
      <c r="E77" t="s">
        <v>19</v>
      </c>
      <c r="F77" t="s">
        <v>72</v>
      </c>
      <c r="G77" t="s">
        <v>91</v>
      </c>
      <c r="H77" t="s">
        <v>13</v>
      </c>
      <c r="I77" t="s">
        <v>57</v>
      </c>
      <c r="J77">
        <v>1</v>
      </c>
      <c r="K77">
        <v>3255</v>
      </c>
      <c r="L77" t="s">
        <v>17</v>
      </c>
      <c r="M77" t="s">
        <v>58</v>
      </c>
      <c r="N77">
        <f t="shared" si="1"/>
        <v>3255</v>
      </c>
    </row>
    <row r="78" spans="1:14" x14ac:dyDescent="0.3">
      <c r="A78" t="s">
        <v>269</v>
      </c>
      <c r="B78" s="4">
        <v>46171</v>
      </c>
      <c r="C78" t="s">
        <v>270</v>
      </c>
      <c r="D78" t="s">
        <v>271</v>
      </c>
      <c r="E78" t="s">
        <v>18</v>
      </c>
      <c r="F78" t="s">
        <v>48</v>
      </c>
      <c r="G78" t="s">
        <v>91</v>
      </c>
      <c r="H78" t="s">
        <v>13</v>
      </c>
      <c r="I78" t="s">
        <v>57</v>
      </c>
      <c r="J78">
        <v>1</v>
      </c>
      <c r="K78">
        <v>3100</v>
      </c>
      <c r="L78" t="s">
        <v>4</v>
      </c>
      <c r="M78" t="s">
        <v>105</v>
      </c>
      <c r="N78">
        <f t="shared" si="1"/>
        <v>3100</v>
      </c>
    </row>
    <row r="79" spans="1:14" x14ac:dyDescent="0.3">
      <c r="A79" t="s">
        <v>272</v>
      </c>
      <c r="B79" s="4">
        <v>46070</v>
      </c>
      <c r="C79" t="s">
        <v>273</v>
      </c>
      <c r="D79" t="s">
        <v>274</v>
      </c>
      <c r="E79" t="s">
        <v>1</v>
      </c>
      <c r="F79" t="s">
        <v>72</v>
      </c>
      <c r="G79" t="s">
        <v>91</v>
      </c>
      <c r="H79" t="s">
        <v>13</v>
      </c>
      <c r="I79" t="s">
        <v>57</v>
      </c>
      <c r="J79">
        <v>10</v>
      </c>
      <c r="K79">
        <v>3100</v>
      </c>
      <c r="L79" t="s">
        <v>2</v>
      </c>
      <c r="M79" t="s">
        <v>105</v>
      </c>
      <c r="N79">
        <f t="shared" si="1"/>
        <v>31000</v>
      </c>
    </row>
    <row r="80" spans="1:14" x14ac:dyDescent="0.3">
      <c r="A80" t="s">
        <v>275</v>
      </c>
      <c r="B80" s="4">
        <v>46113</v>
      </c>
      <c r="C80" t="s">
        <v>126</v>
      </c>
      <c r="D80" t="s">
        <v>127</v>
      </c>
      <c r="E80" t="s">
        <v>15</v>
      </c>
      <c r="F80" t="s">
        <v>276</v>
      </c>
      <c r="G80" t="s">
        <v>205</v>
      </c>
      <c r="H80" t="s">
        <v>206</v>
      </c>
      <c r="I80" t="s">
        <v>51</v>
      </c>
      <c r="J80">
        <v>2</v>
      </c>
      <c r="K80">
        <v>590</v>
      </c>
      <c r="L80" t="s">
        <v>2</v>
      </c>
      <c r="M80" t="s">
        <v>58</v>
      </c>
      <c r="N80">
        <f t="shared" si="1"/>
        <v>1180</v>
      </c>
    </row>
    <row r="81" spans="1:14" x14ac:dyDescent="0.3">
      <c r="A81" t="s">
        <v>277</v>
      </c>
      <c r="B81" s="4">
        <v>46108</v>
      </c>
      <c r="C81" t="s">
        <v>166</v>
      </c>
      <c r="D81" t="s">
        <v>167</v>
      </c>
      <c r="E81" t="s">
        <v>1</v>
      </c>
      <c r="F81" t="s">
        <v>48</v>
      </c>
      <c r="G81" t="s">
        <v>123</v>
      </c>
      <c r="H81" t="s">
        <v>124</v>
      </c>
      <c r="I81" t="s">
        <v>111</v>
      </c>
      <c r="J81">
        <v>2</v>
      </c>
      <c r="K81">
        <v>160</v>
      </c>
      <c r="L81" t="s">
        <v>7</v>
      </c>
      <c r="M81" t="s">
        <v>105</v>
      </c>
      <c r="N81">
        <f t="shared" si="1"/>
        <v>320</v>
      </c>
    </row>
    <row r="82" spans="1:14" x14ac:dyDescent="0.3">
      <c r="A82" t="s">
        <v>278</v>
      </c>
      <c r="B82" s="4">
        <v>46033</v>
      </c>
      <c r="C82" t="s">
        <v>70</v>
      </c>
      <c r="D82" t="s">
        <v>71</v>
      </c>
      <c r="E82" t="s">
        <v>10</v>
      </c>
      <c r="F82" t="s">
        <v>72</v>
      </c>
      <c r="G82" t="s">
        <v>49</v>
      </c>
      <c r="H82" t="s">
        <v>50</v>
      </c>
      <c r="I82" t="s">
        <v>51</v>
      </c>
      <c r="J82">
        <v>2</v>
      </c>
      <c r="K82">
        <v>95</v>
      </c>
      <c r="L82" t="s">
        <v>7</v>
      </c>
      <c r="M82" t="s">
        <v>80</v>
      </c>
      <c r="N82">
        <f t="shared" si="1"/>
        <v>190</v>
      </c>
    </row>
    <row r="83" spans="1:14" x14ac:dyDescent="0.3">
      <c r="A83" t="s">
        <v>279</v>
      </c>
      <c r="B83" s="4">
        <v>46245</v>
      </c>
      <c r="C83" t="s">
        <v>89</v>
      </c>
      <c r="D83" t="s">
        <v>12</v>
      </c>
      <c r="E83" t="s">
        <v>1</v>
      </c>
      <c r="F83" t="s">
        <v>90</v>
      </c>
      <c r="G83" t="s">
        <v>109</v>
      </c>
      <c r="H83" t="s">
        <v>110</v>
      </c>
      <c r="I83" t="s">
        <v>111</v>
      </c>
      <c r="J83">
        <v>2</v>
      </c>
      <c r="K83">
        <v>304</v>
      </c>
      <c r="L83" t="s">
        <v>2</v>
      </c>
      <c r="M83" t="s">
        <v>105</v>
      </c>
      <c r="N83">
        <f t="shared" si="1"/>
        <v>608</v>
      </c>
    </row>
    <row r="84" spans="1:14" x14ac:dyDescent="0.3">
      <c r="A84" t="s">
        <v>280</v>
      </c>
      <c r="B84" s="4">
        <v>46072</v>
      </c>
      <c r="C84" t="s">
        <v>281</v>
      </c>
      <c r="D84" t="s">
        <v>282</v>
      </c>
      <c r="E84" t="s">
        <v>10</v>
      </c>
      <c r="F84" t="s">
        <v>48</v>
      </c>
      <c r="G84" t="s">
        <v>163</v>
      </c>
      <c r="H84" t="s">
        <v>164</v>
      </c>
      <c r="I84" t="s">
        <v>111</v>
      </c>
      <c r="J84">
        <v>2</v>
      </c>
      <c r="K84">
        <v>252</v>
      </c>
      <c r="L84" t="s">
        <v>4</v>
      </c>
      <c r="M84" t="s">
        <v>105</v>
      </c>
      <c r="N84">
        <f t="shared" si="1"/>
        <v>504</v>
      </c>
    </row>
    <row r="85" spans="1:14" x14ac:dyDescent="0.3">
      <c r="A85" t="s">
        <v>283</v>
      </c>
      <c r="B85" s="4">
        <v>46076</v>
      </c>
      <c r="C85" t="s">
        <v>270</v>
      </c>
      <c r="D85" t="s">
        <v>271</v>
      </c>
      <c r="E85" t="s">
        <v>18</v>
      </c>
      <c r="F85" t="s">
        <v>48</v>
      </c>
      <c r="G85" t="s">
        <v>163</v>
      </c>
      <c r="H85" t="s">
        <v>164</v>
      </c>
      <c r="I85" t="s">
        <v>111</v>
      </c>
      <c r="J85">
        <v>1</v>
      </c>
      <c r="K85">
        <v>240</v>
      </c>
      <c r="L85" t="s">
        <v>7</v>
      </c>
      <c r="M85" t="s">
        <v>105</v>
      </c>
      <c r="N85">
        <f t="shared" si="1"/>
        <v>240</v>
      </c>
    </row>
    <row r="86" spans="1:14" x14ac:dyDescent="0.3">
      <c r="A86" t="s">
        <v>284</v>
      </c>
      <c r="B86" s="4">
        <v>46055</v>
      </c>
      <c r="C86" t="s">
        <v>285</v>
      </c>
      <c r="D86" t="s">
        <v>47</v>
      </c>
      <c r="E86" t="s">
        <v>6</v>
      </c>
      <c r="F86" t="s">
        <v>72</v>
      </c>
      <c r="G86" t="s">
        <v>205</v>
      </c>
      <c r="H86" t="s">
        <v>206</v>
      </c>
      <c r="I86" t="s">
        <v>51</v>
      </c>
      <c r="J86">
        <v>1</v>
      </c>
      <c r="K86">
        <v>619.5</v>
      </c>
      <c r="L86" t="s">
        <v>9</v>
      </c>
      <c r="M86" t="s">
        <v>52</v>
      </c>
      <c r="N86">
        <f t="shared" si="1"/>
        <v>619.5</v>
      </c>
    </row>
    <row r="87" spans="1:14" x14ac:dyDescent="0.3">
      <c r="A87" t="s">
        <v>286</v>
      </c>
      <c r="B87" s="4">
        <v>46027</v>
      </c>
      <c r="C87" t="s">
        <v>248</v>
      </c>
      <c r="D87" t="s">
        <v>94</v>
      </c>
      <c r="E87" t="s">
        <v>15</v>
      </c>
      <c r="F87" t="s">
        <v>90</v>
      </c>
      <c r="G87" t="s">
        <v>49</v>
      </c>
      <c r="H87" t="s">
        <v>50</v>
      </c>
      <c r="I87" t="s">
        <v>51</v>
      </c>
      <c r="J87">
        <v>2</v>
      </c>
      <c r="K87">
        <v>90.25</v>
      </c>
      <c r="L87" t="s">
        <v>9</v>
      </c>
      <c r="M87" t="s">
        <v>58</v>
      </c>
      <c r="N87">
        <f t="shared" si="1"/>
        <v>180.5</v>
      </c>
    </row>
    <row r="88" spans="1:14" x14ac:dyDescent="0.3">
      <c r="A88" t="s">
        <v>287</v>
      </c>
      <c r="B88" s="4">
        <v>46189</v>
      </c>
      <c r="C88" t="s">
        <v>288</v>
      </c>
      <c r="D88" t="s">
        <v>289</v>
      </c>
      <c r="E88" t="s">
        <v>18</v>
      </c>
      <c r="F88" t="s">
        <v>90</v>
      </c>
      <c r="G88" t="s">
        <v>67</v>
      </c>
      <c r="H88" t="s">
        <v>8</v>
      </c>
      <c r="I88" t="s">
        <v>68</v>
      </c>
      <c r="J88">
        <v>4</v>
      </c>
      <c r="K88">
        <v>1450</v>
      </c>
      <c r="L88" t="s">
        <v>2</v>
      </c>
      <c r="M88" t="s">
        <v>80</v>
      </c>
      <c r="N88">
        <f t="shared" si="1"/>
        <v>5800</v>
      </c>
    </row>
    <row r="89" spans="1:14" x14ac:dyDescent="0.3">
      <c r="A89" t="s">
        <v>290</v>
      </c>
      <c r="B89" s="4">
        <v>46130</v>
      </c>
      <c r="C89" t="s">
        <v>291</v>
      </c>
      <c r="D89" t="s">
        <v>219</v>
      </c>
      <c r="E89" t="s">
        <v>19</v>
      </c>
      <c r="F89" t="s">
        <v>48</v>
      </c>
      <c r="G89" t="s">
        <v>91</v>
      </c>
      <c r="H89" t="s">
        <v>13</v>
      </c>
      <c r="I89" t="s">
        <v>57</v>
      </c>
      <c r="J89">
        <v>4</v>
      </c>
      <c r="K89">
        <v>3100</v>
      </c>
      <c r="L89" t="s">
        <v>9</v>
      </c>
      <c r="M89" t="s">
        <v>105</v>
      </c>
      <c r="N89">
        <f t="shared" si="1"/>
        <v>12400</v>
      </c>
    </row>
    <row r="90" spans="1:14" x14ac:dyDescent="0.3">
      <c r="A90" t="s">
        <v>292</v>
      </c>
      <c r="B90" s="4">
        <v>46122</v>
      </c>
      <c r="C90" t="s">
        <v>293</v>
      </c>
      <c r="D90" t="s">
        <v>254</v>
      </c>
      <c r="E90" t="s">
        <v>19</v>
      </c>
      <c r="F90" t="s">
        <v>90</v>
      </c>
      <c r="G90" t="s">
        <v>208</v>
      </c>
      <c r="H90" t="s">
        <v>22</v>
      </c>
      <c r="I90" t="s">
        <v>68</v>
      </c>
      <c r="J90">
        <v>1</v>
      </c>
      <c r="K90">
        <v>2310</v>
      </c>
      <c r="L90" t="s">
        <v>17</v>
      </c>
      <c r="M90" t="s">
        <v>52</v>
      </c>
      <c r="N90">
        <f t="shared" si="1"/>
        <v>2310</v>
      </c>
    </row>
    <row r="91" spans="1:14" x14ac:dyDescent="0.3">
      <c r="A91" t="s">
        <v>294</v>
      </c>
      <c r="B91" s="4">
        <v>46094</v>
      </c>
      <c r="C91" t="s">
        <v>295</v>
      </c>
      <c r="D91" t="s">
        <v>296</v>
      </c>
      <c r="E91" t="s">
        <v>19</v>
      </c>
      <c r="F91" t="s">
        <v>72</v>
      </c>
      <c r="G91" t="s">
        <v>183</v>
      </c>
      <c r="H91" t="s">
        <v>184</v>
      </c>
      <c r="I91" t="s">
        <v>111</v>
      </c>
      <c r="J91">
        <v>4</v>
      </c>
      <c r="K91">
        <v>180</v>
      </c>
      <c r="L91" t="s">
        <v>7</v>
      </c>
      <c r="M91" t="s">
        <v>80</v>
      </c>
      <c r="N91">
        <f t="shared" si="1"/>
        <v>720</v>
      </c>
    </row>
    <row r="92" spans="1:14" x14ac:dyDescent="0.3">
      <c r="A92" t="s">
        <v>297</v>
      </c>
      <c r="B92" s="4">
        <v>46096</v>
      </c>
      <c r="C92" t="s">
        <v>204</v>
      </c>
      <c r="D92" t="s">
        <v>71</v>
      </c>
      <c r="E92" t="s">
        <v>15</v>
      </c>
      <c r="F92" t="s">
        <v>90</v>
      </c>
      <c r="G92" t="s">
        <v>136</v>
      </c>
      <c r="H92" t="s">
        <v>137</v>
      </c>
      <c r="I92" t="s">
        <v>111</v>
      </c>
      <c r="J92">
        <v>3</v>
      </c>
      <c r="K92">
        <v>89.25</v>
      </c>
      <c r="L92" t="s">
        <v>17</v>
      </c>
      <c r="M92" t="s">
        <v>105</v>
      </c>
      <c r="N92">
        <f t="shared" si="1"/>
        <v>267.75</v>
      </c>
    </row>
    <row r="93" spans="1:14" x14ac:dyDescent="0.3">
      <c r="A93" t="s">
        <v>298</v>
      </c>
      <c r="B93" s="4">
        <v>46138</v>
      </c>
      <c r="C93" t="s">
        <v>295</v>
      </c>
      <c r="D93" t="s">
        <v>296</v>
      </c>
      <c r="E93" t="s">
        <v>19</v>
      </c>
      <c r="F93" t="s">
        <v>72</v>
      </c>
      <c r="G93" t="s">
        <v>208</v>
      </c>
      <c r="H93" t="s">
        <v>22</v>
      </c>
      <c r="I93" t="s">
        <v>68</v>
      </c>
      <c r="J93">
        <v>2</v>
      </c>
      <c r="K93">
        <v>2200</v>
      </c>
      <c r="L93" t="s">
        <v>7</v>
      </c>
      <c r="M93" t="s">
        <v>105</v>
      </c>
      <c r="N93">
        <f t="shared" si="1"/>
        <v>4400</v>
      </c>
    </row>
    <row r="94" spans="1:14" x14ac:dyDescent="0.3">
      <c r="A94" t="s">
        <v>299</v>
      </c>
      <c r="B94" s="4">
        <v>46246</v>
      </c>
      <c r="C94" t="s">
        <v>178</v>
      </c>
      <c r="D94" t="s">
        <v>179</v>
      </c>
      <c r="E94" t="s">
        <v>10</v>
      </c>
      <c r="F94" t="s">
        <v>48</v>
      </c>
      <c r="G94" t="s">
        <v>61</v>
      </c>
      <c r="H94" t="s">
        <v>62</v>
      </c>
      <c r="I94" t="s">
        <v>63</v>
      </c>
      <c r="J94">
        <v>1</v>
      </c>
      <c r="K94">
        <v>110</v>
      </c>
      <c r="L94" t="s">
        <v>17</v>
      </c>
      <c r="M94" t="s">
        <v>105</v>
      </c>
      <c r="N94">
        <f t="shared" si="1"/>
        <v>110</v>
      </c>
    </row>
    <row r="95" spans="1:14" x14ac:dyDescent="0.3">
      <c r="A95" t="s">
        <v>300</v>
      </c>
      <c r="B95" s="4">
        <v>46035</v>
      </c>
      <c r="C95" t="s">
        <v>256</v>
      </c>
      <c r="D95" t="s">
        <v>199</v>
      </c>
      <c r="E95" t="s">
        <v>19</v>
      </c>
      <c r="F95" t="s">
        <v>72</v>
      </c>
      <c r="G95" t="s">
        <v>95</v>
      </c>
      <c r="H95" t="s">
        <v>96</v>
      </c>
      <c r="I95" t="s">
        <v>75</v>
      </c>
      <c r="J95">
        <v>1</v>
      </c>
      <c r="K95">
        <v>650</v>
      </c>
      <c r="L95" t="s">
        <v>2</v>
      </c>
      <c r="M95" t="s">
        <v>105</v>
      </c>
      <c r="N95">
        <f t="shared" si="1"/>
        <v>650</v>
      </c>
    </row>
    <row r="96" spans="1:14" x14ac:dyDescent="0.3">
      <c r="A96" t="s">
        <v>301</v>
      </c>
      <c r="B96" s="4">
        <v>46150</v>
      </c>
      <c r="C96" t="s">
        <v>98</v>
      </c>
      <c r="D96" t="s">
        <v>16</v>
      </c>
      <c r="E96" t="s">
        <v>1</v>
      </c>
      <c r="F96" t="s">
        <v>48</v>
      </c>
      <c r="G96" t="s">
        <v>208</v>
      </c>
      <c r="H96" t="s">
        <v>22</v>
      </c>
      <c r="I96" t="s">
        <v>68</v>
      </c>
      <c r="J96">
        <v>8</v>
      </c>
      <c r="K96">
        <v>2200</v>
      </c>
      <c r="L96" t="s">
        <v>17</v>
      </c>
      <c r="M96" t="s">
        <v>80</v>
      </c>
      <c r="N96">
        <f t="shared" si="1"/>
        <v>17600</v>
      </c>
    </row>
    <row r="97" spans="1:14" x14ac:dyDescent="0.3">
      <c r="A97" t="s">
        <v>302</v>
      </c>
      <c r="B97" s="4">
        <v>46247</v>
      </c>
      <c r="C97" t="s">
        <v>303</v>
      </c>
      <c r="D97" t="s">
        <v>115</v>
      </c>
      <c r="E97" t="s">
        <v>1</v>
      </c>
      <c r="F97" t="s">
        <v>48</v>
      </c>
      <c r="G97" t="s">
        <v>67</v>
      </c>
      <c r="H97" t="s">
        <v>8</v>
      </c>
      <c r="I97" t="s">
        <v>68</v>
      </c>
      <c r="J97">
        <v>5</v>
      </c>
      <c r="K97">
        <v>1377.5</v>
      </c>
      <c r="L97" t="s">
        <v>17</v>
      </c>
      <c r="M97" t="s">
        <v>105</v>
      </c>
      <c r="N97">
        <f t="shared" si="1"/>
        <v>6887.5</v>
      </c>
    </row>
    <row r="98" spans="1:14" x14ac:dyDescent="0.3">
      <c r="A98" t="s">
        <v>304</v>
      </c>
      <c r="B98" s="4">
        <v>46128</v>
      </c>
      <c r="C98" t="s">
        <v>305</v>
      </c>
      <c r="D98" t="s">
        <v>306</v>
      </c>
      <c r="E98" t="s">
        <v>10</v>
      </c>
      <c r="F98" t="s">
        <v>90</v>
      </c>
      <c r="G98" t="s">
        <v>208</v>
      </c>
      <c r="H98" t="s">
        <v>22</v>
      </c>
      <c r="I98" t="s">
        <v>68</v>
      </c>
      <c r="J98">
        <v>5</v>
      </c>
      <c r="K98">
        <v>2200</v>
      </c>
      <c r="L98" t="s">
        <v>14</v>
      </c>
      <c r="M98" t="s">
        <v>105</v>
      </c>
      <c r="N98">
        <f t="shared" si="1"/>
        <v>11000</v>
      </c>
    </row>
    <row r="99" spans="1:14" x14ac:dyDescent="0.3">
      <c r="A99" t="s">
        <v>307</v>
      </c>
      <c r="B99" s="4">
        <v>46110</v>
      </c>
      <c r="C99" t="s">
        <v>65</v>
      </c>
      <c r="D99" t="s">
        <v>66</v>
      </c>
      <c r="E99" t="s">
        <v>1</v>
      </c>
      <c r="F99" t="s">
        <v>48</v>
      </c>
      <c r="G99" t="s">
        <v>91</v>
      </c>
      <c r="H99" t="s">
        <v>13</v>
      </c>
      <c r="I99" t="s">
        <v>57</v>
      </c>
      <c r="J99">
        <v>3</v>
      </c>
      <c r="K99">
        <v>3100</v>
      </c>
      <c r="L99" t="s">
        <v>2</v>
      </c>
      <c r="M99" t="s">
        <v>58</v>
      </c>
      <c r="N99">
        <f t="shared" si="1"/>
        <v>9300</v>
      </c>
    </row>
    <row r="100" spans="1:14" x14ac:dyDescent="0.3">
      <c r="A100" t="s">
        <v>308</v>
      </c>
      <c r="B100" s="4">
        <v>46242</v>
      </c>
      <c r="C100" t="s">
        <v>166</v>
      </c>
      <c r="D100" t="s">
        <v>167</v>
      </c>
      <c r="E100" t="s">
        <v>1</v>
      </c>
      <c r="F100" t="s">
        <v>48</v>
      </c>
      <c r="G100" t="s">
        <v>61</v>
      </c>
      <c r="H100" t="s">
        <v>62</v>
      </c>
      <c r="I100" t="s">
        <v>63</v>
      </c>
      <c r="J100">
        <v>3</v>
      </c>
      <c r="K100">
        <v>115.5</v>
      </c>
      <c r="L100" t="s">
        <v>4</v>
      </c>
      <c r="M100" t="s">
        <v>80</v>
      </c>
      <c r="N100">
        <f t="shared" si="1"/>
        <v>346.5</v>
      </c>
    </row>
    <row r="101" spans="1:14" x14ac:dyDescent="0.3">
      <c r="A101" t="s">
        <v>309</v>
      </c>
      <c r="B101" s="4">
        <v>46247</v>
      </c>
      <c r="C101" t="s">
        <v>310</v>
      </c>
      <c r="D101" t="s">
        <v>311</v>
      </c>
      <c r="E101" t="s">
        <v>19</v>
      </c>
      <c r="F101" t="s">
        <v>72</v>
      </c>
      <c r="G101" t="s">
        <v>205</v>
      </c>
      <c r="H101" t="s">
        <v>206</v>
      </c>
      <c r="I101" t="s">
        <v>51</v>
      </c>
      <c r="J101">
        <v>2</v>
      </c>
      <c r="K101">
        <v>619.5</v>
      </c>
      <c r="L101" t="s">
        <v>14</v>
      </c>
      <c r="M101" t="s">
        <v>52</v>
      </c>
      <c r="N101">
        <f t="shared" si="1"/>
        <v>1239</v>
      </c>
    </row>
    <row r="102" spans="1:14" x14ac:dyDescent="0.3">
      <c r="A102" t="s">
        <v>312</v>
      </c>
      <c r="B102" s="4">
        <v>46082</v>
      </c>
      <c r="C102" t="s">
        <v>310</v>
      </c>
      <c r="D102" t="s">
        <v>311</v>
      </c>
      <c r="E102" t="s">
        <v>19</v>
      </c>
      <c r="F102" t="s">
        <v>72</v>
      </c>
      <c r="G102" t="s">
        <v>239</v>
      </c>
      <c r="H102" t="s">
        <v>240</v>
      </c>
      <c r="I102" t="s">
        <v>63</v>
      </c>
      <c r="J102">
        <v>3</v>
      </c>
      <c r="K102">
        <v>720</v>
      </c>
      <c r="L102" t="s">
        <v>14</v>
      </c>
      <c r="M102" t="s">
        <v>58</v>
      </c>
      <c r="N102">
        <f t="shared" si="1"/>
        <v>2160</v>
      </c>
    </row>
    <row r="103" spans="1:14" x14ac:dyDescent="0.3">
      <c r="A103" t="s">
        <v>313</v>
      </c>
      <c r="B103" s="4">
        <v>46201</v>
      </c>
      <c r="C103" t="s">
        <v>263</v>
      </c>
      <c r="D103" t="s">
        <v>264</v>
      </c>
      <c r="E103" t="s">
        <v>1</v>
      </c>
      <c r="F103" t="s">
        <v>72</v>
      </c>
      <c r="G103" t="s">
        <v>123</v>
      </c>
      <c r="H103" t="s">
        <v>124</v>
      </c>
      <c r="I103" t="s">
        <v>111</v>
      </c>
      <c r="J103">
        <v>1</v>
      </c>
      <c r="K103">
        <v>152</v>
      </c>
      <c r="L103" t="s">
        <v>14</v>
      </c>
      <c r="M103" t="s">
        <v>80</v>
      </c>
      <c r="N103">
        <f t="shared" si="1"/>
        <v>152</v>
      </c>
    </row>
    <row r="104" spans="1:14" x14ac:dyDescent="0.3">
      <c r="A104" t="s">
        <v>314</v>
      </c>
      <c r="B104" s="4">
        <v>46099</v>
      </c>
      <c r="C104" t="s">
        <v>121</v>
      </c>
      <c r="D104" t="s">
        <v>122</v>
      </c>
      <c r="E104" t="s">
        <v>18</v>
      </c>
      <c r="F104" t="s">
        <v>90</v>
      </c>
      <c r="G104" t="s">
        <v>163</v>
      </c>
      <c r="H104" t="s">
        <v>164</v>
      </c>
      <c r="I104" t="s">
        <v>111</v>
      </c>
      <c r="J104">
        <v>2</v>
      </c>
      <c r="K104">
        <v>240</v>
      </c>
      <c r="L104" t="s">
        <v>9</v>
      </c>
      <c r="M104" t="s">
        <v>52</v>
      </c>
      <c r="N104">
        <f t="shared" si="1"/>
        <v>480</v>
      </c>
    </row>
    <row r="105" spans="1:14" x14ac:dyDescent="0.3">
      <c r="A105" t="s">
        <v>315</v>
      </c>
      <c r="B105" s="4">
        <v>46168</v>
      </c>
      <c r="C105" t="s">
        <v>316</v>
      </c>
      <c r="D105" t="s">
        <v>317</v>
      </c>
      <c r="E105" t="s">
        <v>6</v>
      </c>
      <c r="F105" t="s">
        <v>72</v>
      </c>
      <c r="G105" t="s">
        <v>95</v>
      </c>
      <c r="H105" t="s">
        <v>96</v>
      </c>
      <c r="I105" t="s">
        <v>75</v>
      </c>
      <c r="J105">
        <v>3</v>
      </c>
      <c r="K105">
        <v>650</v>
      </c>
      <c r="L105" t="s">
        <v>9</v>
      </c>
      <c r="M105" t="s">
        <v>52</v>
      </c>
      <c r="N105">
        <f t="shared" si="1"/>
        <v>1950</v>
      </c>
    </row>
    <row r="106" spans="1:14" x14ac:dyDescent="0.3">
      <c r="A106" t="s">
        <v>318</v>
      </c>
      <c r="B106" s="4">
        <v>46182</v>
      </c>
      <c r="C106" t="s">
        <v>319</v>
      </c>
      <c r="D106" t="s">
        <v>320</v>
      </c>
      <c r="E106" t="s">
        <v>1</v>
      </c>
      <c r="F106" t="s">
        <v>48</v>
      </c>
      <c r="G106" t="s">
        <v>109</v>
      </c>
      <c r="H106" t="s">
        <v>110</v>
      </c>
      <c r="I106" t="s">
        <v>111</v>
      </c>
      <c r="J106">
        <v>3</v>
      </c>
      <c r="K106">
        <v>320</v>
      </c>
      <c r="L106" t="s">
        <v>17</v>
      </c>
      <c r="M106" t="s">
        <v>52</v>
      </c>
      <c r="N106">
        <f t="shared" si="1"/>
        <v>960</v>
      </c>
    </row>
    <row r="107" spans="1:14" x14ac:dyDescent="0.3">
      <c r="A107" t="s">
        <v>321</v>
      </c>
      <c r="B107" s="4">
        <v>46187</v>
      </c>
      <c r="C107" t="s">
        <v>256</v>
      </c>
      <c r="D107" t="s">
        <v>199</v>
      </c>
      <c r="E107" t="s">
        <v>19</v>
      </c>
      <c r="F107" t="s">
        <v>72</v>
      </c>
      <c r="G107" t="s">
        <v>73</v>
      </c>
      <c r="H107" t="s">
        <v>74</v>
      </c>
      <c r="I107" t="s">
        <v>75</v>
      </c>
      <c r="J107">
        <v>1</v>
      </c>
      <c r="K107">
        <v>420</v>
      </c>
      <c r="L107" t="s">
        <v>2</v>
      </c>
      <c r="M107" t="s">
        <v>58</v>
      </c>
      <c r="N107">
        <f t="shared" si="1"/>
        <v>420</v>
      </c>
    </row>
    <row r="108" spans="1:14" x14ac:dyDescent="0.3">
      <c r="A108" t="s">
        <v>322</v>
      </c>
      <c r="B108" s="4">
        <v>46254</v>
      </c>
      <c r="C108" t="s">
        <v>323</v>
      </c>
      <c r="D108" t="s">
        <v>324</v>
      </c>
      <c r="E108" t="s">
        <v>15</v>
      </c>
      <c r="F108" t="s">
        <v>72</v>
      </c>
      <c r="G108" t="s">
        <v>73</v>
      </c>
      <c r="H108" t="s">
        <v>74</v>
      </c>
      <c r="I108" t="s">
        <v>75</v>
      </c>
      <c r="J108">
        <v>1</v>
      </c>
      <c r="K108">
        <v>441</v>
      </c>
      <c r="L108" t="s">
        <v>9</v>
      </c>
      <c r="M108" t="s">
        <v>58</v>
      </c>
      <c r="N108">
        <f t="shared" si="1"/>
        <v>441</v>
      </c>
    </row>
    <row r="109" spans="1:14" x14ac:dyDescent="0.3">
      <c r="A109" t="s">
        <v>325</v>
      </c>
      <c r="B109" s="4">
        <v>46174</v>
      </c>
      <c r="C109" t="s">
        <v>263</v>
      </c>
      <c r="D109" t="s">
        <v>264</v>
      </c>
      <c r="E109" t="s">
        <v>1</v>
      </c>
      <c r="F109" t="s">
        <v>72</v>
      </c>
      <c r="G109" t="s">
        <v>201</v>
      </c>
      <c r="H109" t="s">
        <v>202</v>
      </c>
      <c r="I109" t="s">
        <v>63</v>
      </c>
      <c r="J109">
        <v>1</v>
      </c>
      <c r="K109">
        <v>480</v>
      </c>
      <c r="L109" t="s">
        <v>2</v>
      </c>
      <c r="M109" t="s">
        <v>80</v>
      </c>
      <c r="N109">
        <f t="shared" si="1"/>
        <v>480</v>
      </c>
    </row>
    <row r="110" spans="1:14" x14ac:dyDescent="0.3">
      <c r="A110" t="s">
        <v>326</v>
      </c>
      <c r="B110" s="4">
        <v>46074</v>
      </c>
      <c r="C110" t="s">
        <v>178</v>
      </c>
      <c r="D110" t="s">
        <v>179</v>
      </c>
      <c r="E110" t="s">
        <v>10</v>
      </c>
      <c r="F110" t="s">
        <v>48</v>
      </c>
      <c r="G110" t="s">
        <v>239</v>
      </c>
      <c r="H110" t="s">
        <v>240</v>
      </c>
      <c r="I110" t="s">
        <v>63</v>
      </c>
      <c r="J110">
        <v>10</v>
      </c>
      <c r="K110">
        <v>720</v>
      </c>
      <c r="L110" t="s">
        <v>14</v>
      </c>
      <c r="M110" t="s">
        <v>52</v>
      </c>
      <c r="N110">
        <f t="shared" si="1"/>
        <v>7200</v>
      </c>
    </row>
    <row r="111" spans="1:14" x14ac:dyDescent="0.3">
      <c r="A111" t="s">
        <v>327</v>
      </c>
      <c r="B111" s="4">
        <v>46171</v>
      </c>
      <c r="C111" t="s">
        <v>328</v>
      </c>
      <c r="D111" t="s">
        <v>329</v>
      </c>
      <c r="E111" t="s">
        <v>15</v>
      </c>
      <c r="F111" t="s">
        <v>48</v>
      </c>
      <c r="G111" t="s">
        <v>201</v>
      </c>
      <c r="H111" t="s">
        <v>202</v>
      </c>
      <c r="I111" t="s">
        <v>63</v>
      </c>
      <c r="J111">
        <v>1</v>
      </c>
      <c r="K111">
        <v>480</v>
      </c>
      <c r="L111" t="s">
        <v>14</v>
      </c>
      <c r="M111" t="s">
        <v>105</v>
      </c>
      <c r="N111">
        <f t="shared" si="1"/>
        <v>480</v>
      </c>
    </row>
    <row r="112" spans="1:14" x14ac:dyDescent="0.3">
      <c r="A112" t="s">
        <v>330</v>
      </c>
      <c r="B112" s="4">
        <v>46168</v>
      </c>
      <c r="C112" t="s">
        <v>152</v>
      </c>
      <c r="D112" t="s">
        <v>153</v>
      </c>
      <c r="E112" t="s">
        <v>15</v>
      </c>
      <c r="F112" t="s">
        <v>48</v>
      </c>
      <c r="G112" t="s">
        <v>136</v>
      </c>
      <c r="H112" t="s">
        <v>137</v>
      </c>
      <c r="I112" t="s">
        <v>111</v>
      </c>
      <c r="J112">
        <v>5</v>
      </c>
      <c r="K112">
        <v>80.75</v>
      </c>
      <c r="L112" t="s">
        <v>17</v>
      </c>
      <c r="M112" t="s">
        <v>105</v>
      </c>
      <c r="N112">
        <f t="shared" si="1"/>
        <v>403.75</v>
      </c>
    </row>
    <row r="113" spans="1:14" x14ac:dyDescent="0.3">
      <c r="A113" t="s">
        <v>331</v>
      </c>
      <c r="B113" s="4">
        <v>46222</v>
      </c>
      <c r="C113" t="s">
        <v>332</v>
      </c>
      <c r="D113" t="s">
        <v>333</v>
      </c>
      <c r="E113" t="s">
        <v>1</v>
      </c>
      <c r="F113" t="s">
        <v>276</v>
      </c>
      <c r="G113" t="s">
        <v>239</v>
      </c>
      <c r="H113" t="s">
        <v>240</v>
      </c>
      <c r="I113" t="s">
        <v>63</v>
      </c>
      <c r="J113">
        <v>4</v>
      </c>
      <c r="K113">
        <v>756</v>
      </c>
      <c r="L113" t="s">
        <v>7</v>
      </c>
      <c r="M113" t="s">
        <v>52</v>
      </c>
      <c r="N113">
        <f t="shared" si="1"/>
        <v>3024</v>
      </c>
    </row>
    <row r="114" spans="1:14" x14ac:dyDescent="0.3">
      <c r="A114" t="s">
        <v>334</v>
      </c>
      <c r="B114" s="4">
        <v>46182</v>
      </c>
      <c r="C114" t="s">
        <v>335</v>
      </c>
      <c r="D114" t="s">
        <v>336</v>
      </c>
      <c r="E114" t="s">
        <v>6</v>
      </c>
      <c r="F114" t="s">
        <v>90</v>
      </c>
      <c r="G114" t="s">
        <v>79</v>
      </c>
      <c r="H114" t="s">
        <v>11</v>
      </c>
      <c r="I114" t="s">
        <v>57</v>
      </c>
      <c r="J114">
        <v>1</v>
      </c>
      <c r="K114">
        <v>5200</v>
      </c>
      <c r="L114" t="s">
        <v>2</v>
      </c>
      <c r="M114" t="s">
        <v>58</v>
      </c>
      <c r="N114">
        <f t="shared" si="1"/>
        <v>5200</v>
      </c>
    </row>
    <row r="115" spans="1:14" x14ac:dyDescent="0.3">
      <c r="A115" t="s">
        <v>337</v>
      </c>
      <c r="B115" s="4">
        <v>46103</v>
      </c>
      <c r="C115" t="s">
        <v>323</v>
      </c>
      <c r="D115" t="s">
        <v>324</v>
      </c>
      <c r="E115" t="s">
        <v>15</v>
      </c>
      <c r="F115" t="s">
        <v>72</v>
      </c>
      <c r="G115" t="s">
        <v>163</v>
      </c>
      <c r="H115" t="s">
        <v>164</v>
      </c>
      <c r="I115" t="s">
        <v>111</v>
      </c>
      <c r="J115">
        <v>4</v>
      </c>
      <c r="K115">
        <v>228</v>
      </c>
      <c r="L115" t="s">
        <v>17</v>
      </c>
      <c r="M115" t="s">
        <v>80</v>
      </c>
      <c r="N115">
        <f t="shared" si="1"/>
        <v>912</v>
      </c>
    </row>
    <row r="116" spans="1:14" x14ac:dyDescent="0.3">
      <c r="A116" t="s">
        <v>338</v>
      </c>
      <c r="B116" s="4">
        <v>46047</v>
      </c>
      <c r="C116" t="s">
        <v>339</v>
      </c>
      <c r="D116" t="s">
        <v>340</v>
      </c>
      <c r="E116" t="s">
        <v>6</v>
      </c>
      <c r="F116" t="s">
        <v>276</v>
      </c>
      <c r="G116" t="s">
        <v>208</v>
      </c>
      <c r="H116" t="s">
        <v>22</v>
      </c>
      <c r="I116" t="s">
        <v>68</v>
      </c>
      <c r="J116">
        <v>5</v>
      </c>
      <c r="K116">
        <v>2200</v>
      </c>
      <c r="L116" t="s">
        <v>2</v>
      </c>
      <c r="M116" t="s">
        <v>105</v>
      </c>
      <c r="N116">
        <f t="shared" si="1"/>
        <v>11000</v>
      </c>
    </row>
    <row r="117" spans="1:14" x14ac:dyDescent="0.3">
      <c r="A117" t="s">
        <v>341</v>
      </c>
      <c r="B117" s="4">
        <v>46057</v>
      </c>
      <c r="C117" t="s">
        <v>60</v>
      </c>
      <c r="D117" t="s">
        <v>5</v>
      </c>
      <c r="E117" t="s">
        <v>6</v>
      </c>
      <c r="F117" t="s">
        <v>48</v>
      </c>
      <c r="G117" t="s">
        <v>79</v>
      </c>
      <c r="H117" t="s">
        <v>11</v>
      </c>
      <c r="I117" t="s">
        <v>57</v>
      </c>
      <c r="J117">
        <v>4</v>
      </c>
      <c r="K117">
        <v>5200</v>
      </c>
      <c r="L117" t="s">
        <v>17</v>
      </c>
      <c r="M117" t="s">
        <v>80</v>
      </c>
      <c r="N117">
        <f t="shared" si="1"/>
        <v>20800</v>
      </c>
    </row>
    <row r="118" spans="1:14" x14ac:dyDescent="0.3">
      <c r="A118" t="s">
        <v>342</v>
      </c>
      <c r="B118" s="4">
        <v>46089</v>
      </c>
      <c r="C118" t="s">
        <v>332</v>
      </c>
      <c r="D118" t="s">
        <v>333</v>
      </c>
      <c r="E118" t="s">
        <v>1</v>
      </c>
      <c r="F118" t="s">
        <v>72</v>
      </c>
      <c r="G118" t="s">
        <v>123</v>
      </c>
      <c r="H118" t="s">
        <v>124</v>
      </c>
      <c r="I118" t="s">
        <v>111</v>
      </c>
      <c r="J118">
        <v>6</v>
      </c>
      <c r="K118">
        <v>160</v>
      </c>
      <c r="L118" t="s">
        <v>7</v>
      </c>
      <c r="M118" t="s">
        <v>80</v>
      </c>
      <c r="N118">
        <f t="shared" si="1"/>
        <v>960</v>
      </c>
    </row>
    <row r="119" spans="1:14" x14ac:dyDescent="0.3">
      <c r="A119" t="s">
        <v>343</v>
      </c>
      <c r="B119" s="4">
        <v>46143</v>
      </c>
      <c r="C119" t="s">
        <v>344</v>
      </c>
      <c r="D119" t="s">
        <v>345</v>
      </c>
      <c r="E119" t="s">
        <v>6</v>
      </c>
      <c r="F119" t="s">
        <v>90</v>
      </c>
      <c r="G119" t="s">
        <v>67</v>
      </c>
      <c r="H119" t="s">
        <v>8</v>
      </c>
      <c r="I119" t="s">
        <v>68</v>
      </c>
      <c r="J119">
        <v>8</v>
      </c>
      <c r="K119">
        <v>1450</v>
      </c>
      <c r="L119" t="s">
        <v>9</v>
      </c>
      <c r="M119" t="s">
        <v>105</v>
      </c>
      <c r="N119">
        <f t="shared" si="1"/>
        <v>11600</v>
      </c>
    </row>
    <row r="120" spans="1:14" x14ac:dyDescent="0.3">
      <c r="A120" t="s">
        <v>346</v>
      </c>
      <c r="B120" s="4">
        <v>46117</v>
      </c>
      <c r="C120" t="s">
        <v>198</v>
      </c>
      <c r="D120" t="s">
        <v>199</v>
      </c>
      <c r="E120" t="s">
        <v>6</v>
      </c>
      <c r="F120" t="s">
        <v>72</v>
      </c>
      <c r="G120" t="s">
        <v>49</v>
      </c>
      <c r="H120" t="s">
        <v>50</v>
      </c>
      <c r="I120" t="s">
        <v>51</v>
      </c>
      <c r="J120">
        <v>1</v>
      </c>
      <c r="K120">
        <v>95</v>
      </c>
      <c r="L120" t="s">
        <v>14</v>
      </c>
      <c r="M120" t="s">
        <v>80</v>
      </c>
      <c r="N120">
        <f t="shared" si="1"/>
        <v>95</v>
      </c>
    </row>
    <row r="121" spans="1:14" x14ac:dyDescent="0.3">
      <c r="A121" t="s">
        <v>347</v>
      </c>
      <c r="B121" s="4">
        <v>46140</v>
      </c>
      <c r="C121" t="s">
        <v>348</v>
      </c>
      <c r="D121" t="s">
        <v>349</v>
      </c>
      <c r="E121" t="s">
        <v>19</v>
      </c>
      <c r="F121" t="s">
        <v>72</v>
      </c>
      <c r="G121" t="s">
        <v>67</v>
      </c>
      <c r="H121" t="s">
        <v>8</v>
      </c>
      <c r="I121" t="s">
        <v>68</v>
      </c>
      <c r="J121">
        <v>2</v>
      </c>
      <c r="K121">
        <v>1450</v>
      </c>
      <c r="L121" t="s">
        <v>17</v>
      </c>
      <c r="M121" t="s">
        <v>105</v>
      </c>
      <c r="N121">
        <f t="shared" si="1"/>
        <v>2900</v>
      </c>
    </row>
    <row r="122" spans="1:14" x14ac:dyDescent="0.3">
      <c r="A122" t="s">
        <v>350</v>
      </c>
      <c r="B122" s="4">
        <v>46051</v>
      </c>
      <c r="C122" t="s">
        <v>204</v>
      </c>
      <c r="D122" t="s">
        <v>71</v>
      </c>
      <c r="E122" t="s">
        <v>15</v>
      </c>
      <c r="F122" t="s">
        <v>90</v>
      </c>
      <c r="G122" t="s">
        <v>201</v>
      </c>
      <c r="H122" t="s">
        <v>202</v>
      </c>
      <c r="I122" t="s">
        <v>63</v>
      </c>
      <c r="J122">
        <v>3</v>
      </c>
      <c r="K122">
        <v>480</v>
      </c>
      <c r="L122" t="s">
        <v>14</v>
      </c>
      <c r="M122" t="s">
        <v>80</v>
      </c>
      <c r="N122">
        <f t="shared" si="1"/>
        <v>1440</v>
      </c>
    </row>
    <row r="123" spans="1:14" x14ac:dyDescent="0.3">
      <c r="A123" t="s">
        <v>351</v>
      </c>
      <c r="B123" s="4">
        <v>46189</v>
      </c>
      <c r="C123" t="s">
        <v>273</v>
      </c>
      <c r="D123" t="s">
        <v>274</v>
      </c>
      <c r="E123" t="s">
        <v>1</v>
      </c>
      <c r="F123" t="s">
        <v>72</v>
      </c>
      <c r="G123" t="s">
        <v>56</v>
      </c>
      <c r="H123" t="s">
        <v>3</v>
      </c>
      <c r="I123" t="s">
        <v>57</v>
      </c>
      <c r="J123">
        <v>1</v>
      </c>
      <c r="K123">
        <v>8200</v>
      </c>
      <c r="L123" t="s">
        <v>2</v>
      </c>
      <c r="M123" t="s">
        <v>80</v>
      </c>
      <c r="N123">
        <f t="shared" si="1"/>
        <v>8200</v>
      </c>
    </row>
    <row r="124" spans="1:14" x14ac:dyDescent="0.3">
      <c r="A124" t="s">
        <v>352</v>
      </c>
      <c r="B124" s="4">
        <v>46053</v>
      </c>
      <c r="C124" t="s">
        <v>353</v>
      </c>
      <c r="D124" t="s">
        <v>354</v>
      </c>
      <c r="E124" t="s">
        <v>18</v>
      </c>
      <c r="F124" t="s">
        <v>90</v>
      </c>
      <c r="G124" t="s">
        <v>95</v>
      </c>
      <c r="H124" t="s">
        <v>96</v>
      </c>
      <c r="I124" t="s">
        <v>75</v>
      </c>
      <c r="J124">
        <v>1</v>
      </c>
      <c r="K124">
        <v>617.5</v>
      </c>
      <c r="L124" t="s">
        <v>7</v>
      </c>
      <c r="M124" t="s">
        <v>105</v>
      </c>
      <c r="N124">
        <f t="shared" si="1"/>
        <v>617.5</v>
      </c>
    </row>
    <row r="125" spans="1:14" x14ac:dyDescent="0.3">
      <c r="A125" t="s">
        <v>355</v>
      </c>
      <c r="B125" s="4">
        <v>46084</v>
      </c>
      <c r="C125" t="s">
        <v>89</v>
      </c>
      <c r="D125" t="s">
        <v>12</v>
      </c>
      <c r="E125" t="s">
        <v>1</v>
      </c>
      <c r="F125" t="s">
        <v>90</v>
      </c>
      <c r="G125" t="s">
        <v>67</v>
      </c>
      <c r="H125" t="s">
        <v>8</v>
      </c>
      <c r="I125" t="s">
        <v>68</v>
      </c>
      <c r="J125">
        <v>5</v>
      </c>
      <c r="K125">
        <v>1450</v>
      </c>
      <c r="L125" t="s">
        <v>4</v>
      </c>
      <c r="M125" t="s">
        <v>105</v>
      </c>
      <c r="N125">
        <f t="shared" si="1"/>
        <v>7250</v>
      </c>
    </row>
    <row r="126" spans="1:14" x14ac:dyDescent="0.3">
      <c r="A126" t="s">
        <v>356</v>
      </c>
      <c r="B126" s="4">
        <v>46131</v>
      </c>
      <c r="C126" t="s">
        <v>357</v>
      </c>
      <c r="D126" t="s">
        <v>358</v>
      </c>
      <c r="E126" t="s">
        <v>15</v>
      </c>
      <c r="F126" t="s">
        <v>90</v>
      </c>
      <c r="G126" t="s">
        <v>49</v>
      </c>
      <c r="H126" t="s">
        <v>50</v>
      </c>
      <c r="I126" t="s">
        <v>51</v>
      </c>
      <c r="J126">
        <v>2</v>
      </c>
      <c r="K126">
        <v>95</v>
      </c>
      <c r="L126" t="s">
        <v>4</v>
      </c>
      <c r="M126" t="s">
        <v>58</v>
      </c>
      <c r="N126">
        <f t="shared" si="1"/>
        <v>190</v>
      </c>
    </row>
    <row r="127" spans="1:14" x14ac:dyDescent="0.3">
      <c r="A127" t="s">
        <v>359</v>
      </c>
      <c r="B127" s="4">
        <v>46181</v>
      </c>
      <c r="C127" t="s">
        <v>332</v>
      </c>
      <c r="D127" t="s">
        <v>333</v>
      </c>
      <c r="E127" t="s">
        <v>1</v>
      </c>
      <c r="F127" t="s">
        <v>72</v>
      </c>
      <c r="G127" t="s">
        <v>205</v>
      </c>
      <c r="H127" t="s">
        <v>206</v>
      </c>
      <c r="I127" t="s">
        <v>51</v>
      </c>
      <c r="J127">
        <v>2</v>
      </c>
      <c r="K127">
        <v>590</v>
      </c>
      <c r="L127" t="s">
        <v>14</v>
      </c>
      <c r="M127" t="s">
        <v>80</v>
      </c>
      <c r="N127">
        <f t="shared" si="1"/>
        <v>1180</v>
      </c>
    </row>
    <row r="128" spans="1:14" x14ac:dyDescent="0.3">
      <c r="A128" t="s">
        <v>360</v>
      </c>
      <c r="B128" s="4">
        <v>46137</v>
      </c>
      <c r="C128" t="s">
        <v>361</v>
      </c>
      <c r="D128" t="s">
        <v>362</v>
      </c>
      <c r="E128" t="s">
        <v>15</v>
      </c>
      <c r="F128" t="s">
        <v>48</v>
      </c>
      <c r="G128" t="s">
        <v>73</v>
      </c>
      <c r="H128" t="s">
        <v>74</v>
      </c>
      <c r="I128" t="s">
        <v>75</v>
      </c>
      <c r="J128">
        <v>8</v>
      </c>
      <c r="K128">
        <v>420</v>
      </c>
      <c r="L128" t="s">
        <v>14</v>
      </c>
      <c r="M128" t="s">
        <v>80</v>
      </c>
      <c r="N128">
        <f t="shared" si="1"/>
        <v>3360</v>
      </c>
    </row>
    <row r="129" spans="1:14" x14ac:dyDescent="0.3">
      <c r="A129" t="s">
        <v>363</v>
      </c>
      <c r="B129" s="4">
        <v>46039</v>
      </c>
      <c r="C129" t="s">
        <v>364</v>
      </c>
      <c r="D129" t="s">
        <v>365</v>
      </c>
      <c r="E129" t="s">
        <v>6</v>
      </c>
      <c r="F129" t="s">
        <v>90</v>
      </c>
      <c r="G129" t="s">
        <v>201</v>
      </c>
      <c r="H129" t="s">
        <v>202</v>
      </c>
      <c r="I129" t="s">
        <v>63</v>
      </c>
      <c r="J129">
        <v>2</v>
      </c>
      <c r="K129">
        <v>480</v>
      </c>
      <c r="L129" t="s">
        <v>14</v>
      </c>
      <c r="M129" t="s">
        <v>105</v>
      </c>
      <c r="N129">
        <f t="shared" si="1"/>
        <v>960</v>
      </c>
    </row>
    <row r="130" spans="1:14" x14ac:dyDescent="0.3">
      <c r="A130" t="s">
        <v>366</v>
      </c>
      <c r="B130" s="4">
        <v>46188</v>
      </c>
      <c r="C130" t="s">
        <v>126</v>
      </c>
      <c r="D130" t="s">
        <v>127</v>
      </c>
      <c r="E130" t="s">
        <v>15</v>
      </c>
      <c r="F130" t="s">
        <v>72</v>
      </c>
      <c r="G130" t="s">
        <v>79</v>
      </c>
      <c r="H130" t="s">
        <v>11</v>
      </c>
      <c r="I130" t="s">
        <v>57</v>
      </c>
      <c r="J130">
        <v>3</v>
      </c>
      <c r="K130">
        <v>4940</v>
      </c>
      <c r="L130" t="s">
        <v>14</v>
      </c>
      <c r="M130" t="s">
        <v>80</v>
      </c>
      <c r="N130">
        <f t="shared" si="1"/>
        <v>14820</v>
      </c>
    </row>
    <row r="131" spans="1:14" x14ac:dyDescent="0.3">
      <c r="A131" t="s">
        <v>367</v>
      </c>
      <c r="B131" s="4">
        <v>46225</v>
      </c>
      <c r="C131" t="s">
        <v>244</v>
      </c>
      <c r="D131" t="s">
        <v>245</v>
      </c>
      <c r="E131" t="s">
        <v>18</v>
      </c>
      <c r="F131" t="s">
        <v>90</v>
      </c>
      <c r="G131" t="s">
        <v>208</v>
      </c>
      <c r="H131" t="s">
        <v>22</v>
      </c>
      <c r="I131" t="s">
        <v>68</v>
      </c>
      <c r="J131">
        <v>2</v>
      </c>
      <c r="K131">
        <v>2090</v>
      </c>
      <c r="L131" t="s">
        <v>17</v>
      </c>
      <c r="M131" t="s">
        <v>52</v>
      </c>
      <c r="N131">
        <f t="shared" ref="N131:N194" si="2">J131*K131</f>
        <v>4180</v>
      </c>
    </row>
    <row r="132" spans="1:14" x14ac:dyDescent="0.3">
      <c r="A132" t="s">
        <v>368</v>
      </c>
      <c r="B132" s="4">
        <v>46232</v>
      </c>
      <c r="C132" t="s">
        <v>369</v>
      </c>
      <c r="D132" t="s">
        <v>370</v>
      </c>
      <c r="E132" t="s">
        <v>15</v>
      </c>
      <c r="F132" t="s">
        <v>90</v>
      </c>
      <c r="G132" t="s">
        <v>79</v>
      </c>
      <c r="H132" t="s">
        <v>11</v>
      </c>
      <c r="I132" t="s">
        <v>57</v>
      </c>
      <c r="J132">
        <v>5</v>
      </c>
      <c r="K132">
        <v>5200</v>
      </c>
      <c r="L132" t="s">
        <v>9</v>
      </c>
      <c r="M132" t="s">
        <v>58</v>
      </c>
      <c r="N132">
        <f t="shared" si="2"/>
        <v>26000</v>
      </c>
    </row>
    <row r="133" spans="1:14" x14ac:dyDescent="0.3">
      <c r="A133" t="s">
        <v>371</v>
      </c>
      <c r="B133" s="4">
        <v>46057</v>
      </c>
      <c r="C133" t="s">
        <v>152</v>
      </c>
      <c r="D133" t="s">
        <v>153</v>
      </c>
      <c r="E133" t="s">
        <v>15</v>
      </c>
      <c r="F133" t="s">
        <v>48</v>
      </c>
      <c r="G133" t="s">
        <v>208</v>
      </c>
      <c r="H133" t="s">
        <v>22</v>
      </c>
      <c r="I133" t="s">
        <v>68</v>
      </c>
      <c r="J133">
        <v>2</v>
      </c>
      <c r="K133">
        <v>2200</v>
      </c>
      <c r="L133" t="s">
        <v>14</v>
      </c>
      <c r="M133" t="s">
        <v>58</v>
      </c>
      <c r="N133">
        <f t="shared" si="2"/>
        <v>4400</v>
      </c>
    </row>
    <row r="134" spans="1:14" x14ac:dyDescent="0.3">
      <c r="A134" t="s">
        <v>372</v>
      </c>
      <c r="B134" s="4">
        <v>46115</v>
      </c>
      <c r="C134" t="s">
        <v>373</v>
      </c>
      <c r="D134" t="s">
        <v>264</v>
      </c>
      <c r="E134" t="s">
        <v>15</v>
      </c>
      <c r="F134" t="s">
        <v>48</v>
      </c>
      <c r="G134" t="s">
        <v>136</v>
      </c>
      <c r="H134" t="s">
        <v>137</v>
      </c>
      <c r="I134" t="s">
        <v>111</v>
      </c>
      <c r="J134">
        <v>4</v>
      </c>
      <c r="K134">
        <v>85</v>
      </c>
      <c r="L134" t="s">
        <v>17</v>
      </c>
      <c r="M134" t="s">
        <v>80</v>
      </c>
      <c r="N134">
        <f t="shared" si="2"/>
        <v>340</v>
      </c>
    </row>
    <row r="135" spans="1:14" x14ac:dyDescent="0.3">
      <c r="A135" t="s">
        <v>374</v>
      </c>
      <c r="B135" s="4">
        <v>46091</v>
      </c>
      <c r="C135" t="s">
        <v>375</v>
      </c>
      <c r="D135" t="s">
        <v>156</v>
      </c>
      <c r="E135" t="s">
        <v>6</v>
      </c>
      <c r="F135" t="s">
        <v>90</v>
      </c>
      <c r="G135" t="s">
        <v>123</v>
      </c>
      <c r="H135" t="s">
        <v>124</v>
      </c>
      <c r="I135" t="s">
        <v>111</v>
      </c>
      <c r="J135">
        <v>1</v>
      </c>
      <c r="K135">
        <v>160</v>
      </c>
      <c r="L135" t="s">
        <v>17</v>
      </c>
      <c r="M135" t="s">
        <v>58</v>
      </c>
      <c r="N135">
        <f t="shared" si="2"/>
        <v>160</v>
      </c>
    </row>
    <row r="136" spans="1:14" x14ac:dyDescent="0.3">
      <c r="A136" t="s">
        <v>376</v>
      </c>
      <c r="B136" s="4">
        <v>46145</v>
      </c>
      <c r="C136" t="s">
        <v>377</v>
      </c>
      <c r="D136" t="s">
        <v>378</v>
      </c>
      <c r="E136" t="s">
        <v>6</v>
      </c>
      <c r="F136" t="s">
        <v>72</v>
      </c>
      <c r="G136" t="s">
        <v>183</v>
      </c>
      <c r="H136" t="s">
        <v>184</v>
      </c>
      <c r="I136" t="s">
        <v>111</v>
      </c>
      <c r="J136">
        <v>2</v>
      </c>
      <c r="K136">
        <v>180</v>
      </c>
      <c r="L136" t="s">
        <v>17</v>
      </c>
      <c r="M136" t="s">
        <v>58</v>
      </c>
      <c r="N136">
        <f t="shared" si="2"/>
        <v>360</v>
      </c>
    </row>
    <row r="137" spans="1:14" x14ac:dyDescent="0.3">
      <c r="A137" t="s">
        <v>379</v>
      </c>
      <c r="B137" s="4">
        <v>46080</v>
      </c>
      <c r="C137" t="s">
        <v>380</v>
      </c>
      <c r="D137" t="s">
        <v>381</v>
      </c>
      <c r="E137" t="s">
        <v>18</v>
      </c>
      <c r="F137" t="s">
        <v>72</v>
      </c>
      <c r="G137" t="s">
        <v>84</v>
      </c>
      <c r="H137" t="s">
        <v>85</v>
      </c>
      <c r="I137" t="s">
        <v>51</v>
      </c>
      <c r="J137">
        <v>6</v>
      </c>
      <c r="K137">
        <v>760</v>
      </c>
      <c r="L137" t="s">
        <v>2</v>
      </c>
      <c r="M137" t="s">
        <v>80</v>
      </c>
      <c r="N137">
        <f t="shared" si="2"/>
        <v>4560</v>
      </c>
    </row>
    <row r="138" spans="1:14" x14ac:dyDescent="0.3">
      <c r="A138" t="s">
        <v>382</v>
      </c>
      <c r="B138" s="4">
        <v>46039</v>
      </c>
      <c r="C138" t="s">
        <v>178</v>
      </c>
      <c r="D138" t="s">
        <v>179</v>
      </c>
      <c r="E138" t="s">
        <v>10</v>
      </c>
      <c r="F138" t="s">
        <v>48</v>
      </c>
      <c r="G138" t="s">
        <v>136</v>
      </c>
      <c r="H138" t="s">
        <v>137</v>
      </c>
      <c r="I138" t="s">
        <v>111</v>
      </c>
      <c r="J138">
        <v>10</v>
      </c>
      <c r="K138">
        <v>85</v>
      </c>
      <c r="L138" t="s">
        <v>4</v>
      </c>
      <c r="M138" t="s">
        <v>58</v>
      </c>
      <c r="N138">
        <f t="shared" si="2"/>
        <v>850</v>
      </c>
    </row>
    <row r="139" spans="1:14" x14ac:dyDescent="0.3">
      <c r="A139" t="s">
        <v>383</v>
      </c>
      <c r="B139" s="4">
        <v>46042</v>
      </c>
      <c r="C139" t="s">
        <v>170</v>
      </c>
      <c r="D139" t="s">
        <v>171</v>
      </c>
      <c r="E139" t="s">
        <v>15</v>
      </c>
      <c r="F139" t="s">
        <v>72</v>
      </c>
      <c r="G139" t="s">
        <v>73</v>
      </c>
      <c r="H139" t="s">
        <v>74</v>
      </c>
      <c r="I139" t="s">
        <v>75</v>
      </c>
      <c r="J139">
        <v>5</v>
      </c>
      <c r="K139">
        <v>420</v>
      </c>
      <c r="L139" t="s">
        <v>17</v>
      </c>
      <c r="M139" t="s">
        <v>52</v>
      </c>
      <c r="N139">
        <f t="shared" si="2"/>
        <v>2100</v>
      </c>
    </row>
    <row r="140" spans="1:14" x14ac:dyDescent="0.3">
      <c r="A140" t="s">
        <v>384</v>
      </c>
      <c r="B140" s="4">
        <v>46094</v>
      </c>
      <c r="C140" t="s">
        <v>385</v>
      </c>
      <c r="D140" t="s">
        <v>386</v>
      </c>
      <c r="E140" t="s">
        <v>15</v>
      </c>
      <c r="F140" t="s">
        <v>48</v>
      </c>
      <c r="G140" t="s">
        <v>208</v>
      </c>
      <c r="H140" t="s">
        <v>22</v>
      </c>
      <c r="I140" t="s">
        <v>68</v>
      </c>
      <c r="J140">
        <v>3</v>
      </c>
      <c r="K140">
        <v>2310</v>
      </c>
      <c r="L140" t="s">
        <v>17</v>
      </c>
      <c r="M140" t="s">
        <v>80</v>
      </c>
      <c r="N140">
        <f t="shared" si="2"/>
        <v>6930</v>
      </c>
    </row>
    <row r="141" spans="1:14" x14ac:dyDescent="0.3">
      <c r="A141" t="s">
        <v>387</v>
      </c>
      <c r="B141" s="4">
        <v>46099</v>
      </c>
      <c r="C141" t="s">
        <v>328</v>
      </c>
      <c r="D141" t="s">
        <v>329</v>
      </c>
      <c r="E141" t="s">
        <v>15</v>
      </c>
      <c r="F141" t="s">
        <v>48</v>
      </c>
      <c r="G141" t="s">
        <v>84</v>
      </c>
      <c r="H141" t="s">
        <v>85</v>
      </c>
      <c r="I141" t="s">
        <v>51</v>
      </c>
      <c r="J141">
        <v>2</v>
      </c>
      <c r="K141">
        <v>798</v>
      </c>
      <c r="L141" t="s">
        <v>4</v>
      </c>
      <c r="M141" t="s">
        <v>58</v>
      </c>
      <c r="N141">
        <f t="shared" si="2"/>
        <v>1596</v>
      </c>
    </row>
    <row r="142" spans="1:14" x14ac:dyDescent="0.3">
      <c r="A142" t="s">
        <v>388</v>
      </c>
      <c r="B142" s="4">
        <v>46242</v>
      </c>
      <c r="C142" t="s">
        <v>121</v>
      </c>
      <c r="D142" t="s">
        <v>122</v>
      </c>
      <c r="E142" t="s">
        <v>18</v>
      </c>
      <c r="F142" t="s">
        <v>90</v>
      </c>
      <c r="G142" t="s">
        <v>67</v>
      </c>
      <c r="H142" t="s">
        <v>8</v>
      </c>
      <c r="I142" t="s">
        <v>68</v>
      </c>
      <c r="J142">
        <v>3</v>
      </c>
      <c r="K142">
        <v>1522.5</v>
      </c>
      <c r="L142" t="s">
        <v>2</v>
      </c>
      <c r="M142" t="s">
        <v>52</v>
      </c>
      <c r="N142">
        <f t="shared" si="2"/>
        <v>4567.5</v>
      </c>
    </row>
    <row r="143" spans="1:14" x14ac:dyDescent="0.3">
      <c r="A143" t="s">
        <v>389</v>
      </c>
      <c r="B143" s="4">
        <v>46251</v>
      </c>
      <c r="C143" t="s">
        <v>390</v>
      </c>
      <c r="D143" t="s">
        <v>391</v>
      </c>
      <c r="E143" t="s">
        <v>18</v>
      </c>
      <c r="F143" t="s">
        <v>90</v>
      </c>
      <c r="G143" t="s">
        <v>73</v>
      </c>
      <c r="H143" t="s">
        <v>74</v>
      </c>
      <c r="I143" t="s">
        <v>75</v>
      </c>
      <c r="J143">
        <v>1</v>
      </c>
      <c r="K143">
        <v>420</v>
      </c>
      <c r="L143" t="s">
        <v>4</v>
      </c>
      <c r="M143" t="s">
        <v>105</v>
      </c>
      <c r="N143">
        <f t="shared" si="2"/>
        <v>420</v>
      </c>
    </row>
    <row r="144" spans="1:14" x14ac:dyDescent="0.3">
      <c r="A144" t="s">
        <v>392</v>
      </c>
      <c r="B144" s="4">
        <v>46104</v>
      </c>
      <c r="C144" t="s">
        <v>161</v>
      </c>
      <c r="D144" t="s">
        <v>162</v>
      </c>
      <c r="E144" t="s">
        <v>10</v>
      </c>
      <c r="F144" t="s">
        <v>72</v>
      </c>
      <c r="G144" t="s">
        <v>67</v>
      </c>
      <c r="H144" t="s">
        <v>8</v>
      </c>
      <c r="I144" t="s">
        <v>68</v>
      </c>
      <c r="J144">
        <v>2</v>
      </c>
      <c r="K144">
        <v>1450</v>
      </c>
      <c r="L144" t="s">
        <v>7</v>
      </c>
      <c r="M144" t="s">
        <v>52</v>
      </c>
      <c r="N144">
        <f t="shared" si="2"/>
        <v>2900</v>
      </c>
    </row>
    <row r="145" spans="1:14" x14ac:dyDescent="0.3">
      <c r="A145" t="s">
        <v>393</v>
      </c>
      <c r="B145" s="4">
        <v>46041</v>
      </c>
      <c r="C145" t="s">
        <v>394</v>
      </c>
      <c r="D145" t="s">
        <v>395</v>
      </c>
      <c r="E145" t="s">
        <v>15</v>
      </c>
      <c r="F145" t="s">
        <v>48</v>
      </c>
      <c r="G145" t="s">
        <v>205</v>
      </c>
      <c r="H145" t="s">
        <v>206</v>
      </c>
      <c r="I145" t="s">
        <v>51</v>
      </c>
      <c r="J145">
        <v>1</v>
      </c>
      <c r="K145">
        <v>560.5</v>
      </c>
      <c r="L145" t="s">
        <v>14</v>
      </c>
      <c r="M145" t="s">
        <v>105</v>
      </c>
      <c r="N145">
        <f t="shared" si="2"/>
        <v>560.5</v>
      </c>
    </row>
    <row r="146" spans="1:14" x14ac:dyDescent="0.3">
      <c r="A146" t="s">
        <v>396</v>
      </c>
      <c r="B146" s="4">
        <v>46231</v>
      </c>
      <c r="C146" t="s">
        <v>230</v>
      </c>
      <c r="D146" t="s">
        <v>231</v>
      </c>
      <c r="E146" t="s">
        <v>1</v>
      </c>
      <c r="F146" t="s">
        <v>48</v>
      </c>
      <c r="G146" t="s">
        <v>201</v>
      </c>
      <c r="H146" t="s">
        <v>202</v>
      </c>
      <c r="I146" t="s">
        <v>63</v>
      </c>
      <c r="J146">
        <v>1</v>
      </c>
      <c r="K146">
        <v>456</v>
      </c>
      <c r="L146" t="s">
        <v>17</v>
      </c>
      <c r="M146" t="s">
        <v>80</v>
      </c>
      <c r="N146">
        <f t="shared" si="2"/>
        <v>456</v>
      </c>
    </row>
    <row r="147" spans="1:14" x14ac:dyDescent="0.3">
      <c r="A147" t="s">
        <v>397</v>
      </c>
      <c r="B147" s="4">
        <v>46129</v>
      </c>
      <c r="C147" t="s">
        <v>114</v>
      </c>
      <c r="D147" t="s">
        <v>115</v>
      </c>
      <c r="E147" t="s">
        <v>18</v>
      </c>
      <c r="F147" t="s">
        <v>72</v>
      </c>
      <c r="G147" t="s">
        <v>67</v>
      </c>
      <c r="H147" t="s">
        <v>8</v>
      </c>
      <c r="I147" t="s">
        <v>68</v>
      </c>
      <c r="J147">
        <v>2</v>
      </c>
      <c r="K147">
        <v>1450</v>
      </c>
      <c r="L147" t="s">
        <v>2</v>
      </c>
      <c r="M147" t="s">
        <v>58</v>
      </c>
      <c r="N147">
        <f t="shared" si="2"/>
        <v>2900</v>
      </c>
    </row>
    <row r="148" spans="1:14" x14ac:dyDescent="0.3">
      <c r="A148" t="s">
        <v>398</v>
      </c>
      <c r="B148" s="4">
        <v>46114</v>
      </c>
      <c r="C148" t="s">
        <v>399</v>
      </c>
      <c r="D148" t="s">
        <v>400</v>
      </c>
      <c r="E148" t="s">
        <v>6</v>
      </c>
      <c r="F148" t="s">
        <v>72</v>
      </c>
      <c r="G148" t="s">
        <v>239</v>
      </c>
      <c r="H148" t="s">
        <v>240</v>
      </c>
      <c r="I148" t="s">
        <v>63</v>
      </c>
      <c r="J148">
        <v>1</v>
      </c>
      <c r="K148">
        <v>756</v>
      </c>
      <c r="L148" t="s">
        <v>9</v>
      </c>
      <c r="M148" t="s">
        <v>52</v>
      </c>
      <c r="N148">
        <f t="shared" si="2"/>
        <v>756</v>
      </c>
    </row>
    <row r="149" spans="1:14" x14ac:dyDescent="0.3">
      <c r="A149" t="s">
        <v>401</v>
      </c>
      <c r="B149" s="4">
        <v>46081</v>
      </c>
      <c r="C149" t="s">
        <v>77</v>
      </c>
      <c r="D149" t="s">
        <v>78</v>
      </c>
      <c r="E149" t="s">
        <v>6</v>
      </c>
      <c r="F149" t="s">
        <v>72</v>
      </c>
      <c r="G149" t="s">
        <v>205</v>
      </c>
      <c r="H149" t="s">
        <v>206</v>
      </c>
      <c r="I149" t="s">
        <v>51</v>
      </c>
      <c r="J149">
        <v>5</v>
      </c>
      <c r="K149">
        <v>590</v>
      </c>
      <c r="L149" t="s">
        <v>17</v>
      </c>
      <c r="M149" t="s">
        <v>80</v>
      </c>
      <c r="N149">
        <f t="shared" si="2"/>
        <v>2950</v>
      </c>
    </row>
    <row r="150" spans="1:14" x14ac:dyDescent="0.3">
      <c r="A150" t="s">
        <v>402</v>
      </c>
      <c r="B150" s="4">
        <v>46170</v>
      </c>
      <c r="C150" t="s">
        <v>89</v>
      </c>
      <c r="D150" t="s">
        <v>12</v>
      </c>
      <c r="E150" t="s">
        <v>1</v>
      </c>
      <c r="F150" t="s">
        <v>90</v>
      </c>
      <c r="G150" t="s">
        <v>91</v>
      </c>
      <c r="H150" t="s">
        <v>13</v>
      </c>
      <c r="I150" t="s">
        <v>57</v>
      </c>
      <c r="J150">
        <v>1</v>
      </c>
      <c r="K150">
        <v>3100</v>
      </c>
      <c r="L150" t="s">
        <v>17</v>
      </c>
      <c r="M150" t="s">
        <v>58</v>
      </c>
      <c r="N150">
        <f t="shared" si="2"/>
        <v>3100</v>
      </c>
    </row>
    <row r="151" spans="1:14" x14ac:dyDescent="0.3">
      <c r="A151" t="s">
        <v>403</v>
      </c>
      <c r="B151" s="4">
        <v>46031</v>
      </c>
      <c r="C151" t="s">
        <v>267</v>
      </c>
      <c r="D151" t="s">
        <v>268</v>
      </c>
      <c r="E151" t="s">
        <v>19</v>
      </c>
      <c r="F151" t="s">
        <v>72</v>
      </c>
      <c r="G151" t="s">
        <v>91</v>
      </c>
      <c r="H151" t="s">
        <v>13</v>
      </c>
      <c r="I151" t="s">
        <v>57</v>
      </c>
      <c r="J151">
        <v>1</v>
      </c>
      <c r="K151">
        <v>3100</v>
      </c>
      <c r="L151" t="s">
        <v>7</v>
      </c>
      <c r="M151" t="s">
        <v>80</v>
      </c>
      <c r="N151">
        <f t="shared" si="2"/>
        <v>3100</v>
      </c>
    </row>
    <row r="152" spans="1:14" x14ac:dyDescent="0.3">
      <c r="A152" t="s">
        <v>404</v>
      </c>
      <c r="B152" s="4">
        <v>46246</v>
      </c>
      <c r="C152" t="s">
        <v>253</v>
      </c>
      <c r="D152" t="s">
        <v>254</v>
      </c>
      <c r="E152" t="s">
        <v>6</v>
      </c>
      <c r="F152" t="s">
        <v>72</v>
      </c>
      <c r="G152" t="s">
        <v>123</v>
      </c>
      <c r="H152" t="s">
        <v>124</v>
      </c>
      <c r="I152" t="s">
        <v>111</v>
      </c>
      <c r="J152">
        <v>1</v>
      </c>
      <c r="K152">
        <v>160</v>
      </c>
      <c r="L152" t="s">
        <v>14</v>
      </c>
      <c r="M152" t="s">
        <v>52</v>
      </c>
      <c r="N152">
        <f t="shared" si="2"/>
        <v>160</v>
      </c>
    </row>
    <row r="153" spans="1:14" x14ac:dyDescent="0.3">
      <c r="A153" t="s">
        <v>405</v>
      </c>
      <c r="B153" s="4">
        <v>46047</v>
      </c>
      <c r="C153" t="s">
        <v>406</v>
      </c>
      <c r="D153" t="s">
        <v>407</v>
      </c>
      <c r="E153" t="s">
        <v>1</v>
      </c>
      <c r="F153" t="s">
        <v>276</v>
      </c>
      <c r="G153" t="s">
        <v>136</v>
      </c>
      <c r="H153" t="s">
        <v>137</v>
      </c>
      <c r="I153" t="s">
        <v>111</v>
      </c>
      <c r="J153">
        <v>3</v>
      </c>
      <c r="K153">
        <v>85</v>
      </c>
      <c r="L153" t="s">
        <v>4</v>
      </c>
      <c r="M153" t="s">
        <v>105</v>
      </c>
      <c r="N153">
        <f t="shared" si="2"/>
        <v>255</v>
      </c>
    </row>
    <row r="154" spans="1:14" x14ac:dyDescent="0.3">
      <c r="A154" t="s">
        <v>408</v>
      </c>
      <c r="B154" s="4">
        <v>46064</v>
      </c>
      <c r="C154" t="s">
        <v>178</v>
      </c>
      <c r="D154" t="s">
        <v>179</v>
      </c>
      <c r="E154" t="s">
        <v>10</v>
      </c>
      <c r="F154" t="s">
        <v>48</v>
      </c>
      <c r="G154" t="s">
        <v>61</v>
      </c>
      <c r="H154" t="s">
        <v>62</v>
      </c>
      <c r="I154" t="s">
        <v>63</v>
      </c>
      <c r="J154">
        <v>2</v>
      </c>
      <c r="K154">
        <v>110</v>
      </c>
      <c r="L154" t="s">
        <v>17</v>
      </c>
      <c r="M154" t="s">
        <v>58</v>
      </c>
      <c r="N154">
        <f t="shared" si="2"/>
        <v>220</v>
      </c>
    </row>
    <row r="155" spans="1:14" x14ac:dyDescent="0.3">
      <c r="A155" t="s">
        <v>409</v>
      </c>
      <c r="B155" s="4">
        <v>46063</v>
      </c>
      <c r="C155" t="s">
        <v>132</v>
      </c>
      <c r="D155" t="s">
        <v>20</v>
      </c>
      <c r="E155" t="s">
        <v>19</v>
      </c>
      <c r="F155" t="s">
        <v>90</v>
      </c>
      <c r="G155" t="s">
        <v>163</v>
      </c>
      <c r="H155" t="s">
        <v>164</v>
      </c>
      <c r="I155" t="s">
        <v>111</v>
      </c>
      <c r="J155">
        <v>1</v>
      </c>
      <c r="K155">
        <v>252</v>
      </c>
      <c r="L155" t="s">
        <v>14</v>
      </c>
      <c r="M155" t="s">
        <v>58</v>
      </c>
      <c r="N155">
        <f t="shared" si="2"/>
        <v>252</v>
      </c>
    </row>
    <row r="156" spans="1:14" x14ac:dyDescent="0.3">
      <c r="A156" t="s">
        <v>410</v>
      </c>
      <c r="B156" s="4">
        <v>46193</v>
      </c>
      <c r="C156" t="s">
        <v>411</v>
      </c>
      <c r="D156" t="s">
        <v>324</v>
      </c>
      <c r="E156" t="s">
        <v>19</v>
      </c>
      <c r="F156" t="s">
        <v>276</v>
      </c>
      <c r="G156" t="s">
        <v>73</v>
      </c>
      <c r="H156" t="s">
        <v>74</v>
      </c>
      <c r="I156" t="s">
        <v>75</v>
      </c>
      <c r="J156">
        <v>2</v>
      </c>
      <c r="K156">
        <v>441</v>
      </c>
      <c r="L156" t="s">
        <v>4</v>
      </c>
      <c r="M156" t="s">
        <v>105</v>
      </c>
      <c r="N156">
        <f t="shared" si="2"/>
        <v>882</v>
      </c>
    </row>
    <row r="157" spans="1:14" x14ac:dyDescent="0.3">
      <c r="A157" t="s">
        <v>412</v>
      </c>
      <c r="B157" s="4">
        <v>46217</v>
      </c>
      <c r="C157" t="s">
        <v>411</v>
      </c>
      <c r="D157" t="s">
        <v>324</v>
      </c>
      <c r="E157" t="s">
        <v>19</v>
      </c>
      <c r="F157" t="s">
        <v>48</v>
      </c>
      <c r="G157" t="s">
        <v>79</v>
      </c>
      <c r="H157" t="s">
        <v>11</v>
      </c>
      <c r="I157" t="s">
        <v>57</v>
      </c>
      <c r="J157">
        <v>2</v>
      </c>
      <c r="K157">
        <v>5200</v>
      </c>
      <c r="L157" t="s">
        <v>4</v>
      </c>
      <c r="M157" t="s">
        <v>58</v>
      </c>
      <c r="N157">
        <f t="shared" si="2"/>
        <v>10400</v>
      </c>
    </row>
    <row r="158" spans="1:14" x14ac:dyDescent="0.3">
      <c r="A158" t="s">
        <v>413</v>
      </c>
      <c r="B158" s="4">
        <v>46158</v>
      </c>
      <c r="C158" t="s">
        <v>399</v>
      </c>
      <c r="D158" t="s">
        <v>400</v>
      </c>
      <c r="E158" t="s">
        <v>6</v>
      </c>
      <c r="F158" t="s">
        <v>72</v>
      </c>
      <c r="G158" t="s">
        <v>205</v>
      </c>
      <c r="H158" t="s">
        <v>206</v>
      </c>
      <c r="I158" t="s">
        <v>51</v>
      </c>
      <c r="J158">
        <v>3</v>
      </c>
      <c r="K158">
        <v>560.5</v>
      </c>
      <c r="L158" t="s">
        <v>9</v>
      </c>
      <c r="M158" t="s">
        <v>105</v>
      </c>
      <c r="N158">
        <f t="shared" si="2"/>
        <v>1681.5</v>
      </c>
    </row>
    <row r="159" spans="1:14" x14ac:dyDescent="0.3">
      <c r="A159" t="s">
        <v>414</v>
      </c>
      <c r="B159" s="4">
        <v>46025</v>
      </c>
      <c r="C159" t="s">
        <v>93</v>
      </c>
      <c r="D159" t="s">
        <v>94</v>
      </c>
      <c r="E159" t="s">
        <v>15</v>
      </c>
      <c r="F159" t="s">
        <v>48</v>
      </c>
      <c r="G159" t="s">
        <v>163</v>
      </c>
      <c r="H159" t="s">
        <v>164</v>
      </c>
      <c r="I159" t="s">
        <v>111</v>
      </c>
      <c r="J159">
        <v>1</v>
      </c>
      <c r="K159">
        <v>240</v>
      </c>
      <c r="L159" t="s">
        <v>9</v>
      </c>
      <c r="M159" t="s">
        <v>80</v>
      </c>
      <c r="N159">
        <f t="shared" si="2"/>
        <v>240</v>
      </c>
    </row>
    <row r="160" spans="1:14" x14ac:dyDescent="0.3">
      <c r="A160" t="s">
        <v>415</v>
      </c>
      <c r="B160" s="4">
        <v>46054</v>
      </c>
      <c r="C160" t="s">
        <v>416</v>
      </c>
      <c r="D160" t="s">
        <v>417</v>
      </c>
      <c r="E160" t="s">
        <v>19</v>
      </c>
      <c r="F160" t="s">
        <v>72</v>
      </c>
      <c r="G160" t="s">
        <v>61</v>
      </c>
      <c r="H160" t="s">
        <v>62</v>
      </c>
      <c r="I160" t="s">
        <v>63</v>
      </c>
      <c r="J160">
        <v>1</v>
      </c>
      <c r="K160">
        <v>110</v>
      </c>
      <c r="L160" t="s">
        <v>9</v>
      </c>
      <c r="M160" t="s">
        <v>52</v>
      </c>
      <c r="N160">
        <f t="shared" si="2"/>
        <v>110</v>
      </c>
    </row>
    <row r="161" spans="1:14" x14ac:dyDescent="0.3">
      <c r="A161" t="s">
        <v>418</v>
      </c>
      <c r="B161" s="4">
        <v>46204</v>
      </c>
      <c r="C161" t="s">
        <v>328</v>
      </c>
      <c r="D161" t="s">
        <v>329</v>
      </c>
      <c r="E161" t="s">
        <v>15</v>
      </c>
      <c r="F161" t="s">
        <v>48</v>
      </c>
      <c r="G161" t="s">
        <v>49</v>
      </c>
      <c r="H161" t="s">
        <v>50</v>
      </c>
      <c r="I161" t="s">
        <v>51</v>
      </c>
      <c r="J161">
        <v>1</v>
      </c>
      <c r="K161">
        <v>99.75</v>
      </c>
      <c r="L161" t="s">
        <v>2</v>
      </c>
      <c r="M161" t="s">
        <v>80</v>
      </c>
      <c r="N161">
        <f t="shared" si="2"/>
        <v>99.75</v>
      </c>
    </row>
    <row r="162" spans="1:14" x14ac:dyDescent="0.3">
      <c r="A162" t="s">
        <v>419</v>
      </c>
      <c r="B162" s="4">
        <v>46244</v>
      </c>
      <c r="C162" t="s">
        <v>260</v>
      </c>
      <c r="D162" t="s">
        <v>261</v>
      </c>
      <c r="E162" t="s">
        <v>1</v>
      </c>
      <c r="F162" t="s">
        <v>48</v>
      </c>
      <c r="G162" t="s">
        <v>109</v>
      </c>
      <c r="H162" t="s">
        <v>110</v>
      </c>
      <c r="I162" t="s">
        <v>111</v>
      </c>
      <c r="J162">
        <v>3</v>
      </c>
      <c r="K162">
        <v>320</v>
      </c>
      <c r="L162" t="s">
        <v>14</v>
      </c>
      <c r="M162" t="s">
        <v>105</v>
      </c>
      <c r="N162">
        <f t="shared" si="2"/>
        <v>960</v>
      </c>
    </row>
    <row r="163" spans="1:14" x14ac:dyDescent="0.3">
      <c r="A163" t="s">
        <v>420</v>
      </c>
      <c r="B163" s="4">
        <v>46244</v>
      </c>
      <c r="C163" t="s">
        <v>273</v>
      </c>
      <c r="D163" t="s">
        <v>274</v>
      </c>
      <c r="E163" t="s">
        <v>1</v>
      </c>
      <c r="F163" t="s">
        <v>72</v>
      </c>
      <c r="G163" t="s">
        <v>183</v>
      </c>
      <c r="H163" t="s">
        <v>184</v>
      </c>
      <c r="I163" t="s">
        <v>111</v>
      </c>
      <c r="J163">
        <v>1</v>
      </c>
      <c r="K163">
        <v>180</v>
      </c>
      <c r="L163" t="s">
        <v>17</v>
      </c>
      <c r="M163" t="s">
        <v>105</v>
      </c>
      <c r="N163">
        <f t="shared" si="2"/>
        <v>180</v>
      </c>
    </row>
    <row r="164" spans="1:14" x14ac:dyDescent="0.3">
      <c r="A164" t="s">
        <v>421</v>
      </c>
      <c r="B164" s="4">
        <v>46098</v>
      </c>
      <c r="C164" t="s">
        <v>158</v>
      </c>
      <c r="D164" t="s">
        <v>159</v>
      </c>
      <c r="E164" t="s">
        <v>18</v>
      </c>
      <c r="F164" t="s">
        <v>48</v>
      </c>
      <c r="G164" t="s">
        <v>95</v>
      </c>
      <c r="H164" t="s">
        <v>96</v>
      </c>
      <c r="I164" t="s">
        <v>75</v>
      </c>
      <c r="J164">
        <v>1</v>
      </c>
      <c r="K164">
        <v>617.5</v>
      </c>
      <c r="L164" t="s">
        <v>7</v>
      </c>
      <c r="M164" t="s">
        <v>52</v>
      </c>
      <c r="N164">
        <f t="shared" si="2"/>
        <v>617.5</v>
      </c>
    </row>
    <row r="165" spans="1:14" x14ac:dyDescent="0.3">
      <c r="A165" t="s">
        <v>422</v>
      </c>
      <c r="B165" s="4">
        <v>46236</v>
      </c>
      <c r="C165" t="s">
        <v>344</v>
      </c>
      <c r="D165" t="s">
        <v>345</v>
      </c>
      <c r="E165" t="s">
        <v>6</v>
      </c>
      <c r="F165" t="s">
        <v>90</v>
      </c>
      <c r="G165" t="s">
        <v>73</v>
      </c>
      <c r="H165" t="s">
        <v>74</v>
      </c>
      <c r="I165" t="s">
        <v>75</v>
      </c>
      <c r="J165">
        <v>3</v>
      </c>
      <c r="K165">
        <v>420</v>
      </c>
      <c r="L165" t="s">
        <v>14</v>
      </c>
      <c r="M165" t="s">
        <v>105</v>
      </c>
      <c r="N165">
        <f t="shared" si="2"/>
        <v>1260</v>
      </c>
    </row>
    <row r="166" spans="1:14" x14ac:dyDescent="0.3">
      <c r="A166" t="s">
        <v>423</v>
      </c>
      <c r="B166" s="4">
        <v>46086</v>
      </c>
      <c r="C166" t="s">
        <v>198</v>
      </c>
      <c r="D166" t="s">
        <v>199</v>
      </c>
      <c r="E166" t="s">
        <v>6</v>
      </c>
      <c r="F166" t="s">
        <v>72</v>
      </c>
      <c r="G166" t="s">
        <v>67</v>
      </c>
      <c r="H166" t="s">
        <v>8</v>
      </c>
      <c r="I166" t="s">
        <v>68</v>
      </c>
      <c r="J166">
        <v>2</v>
      </c>
      <c r="K166">
        <v>1450</v>
      </c>
      <c r="L166" t="s">
        <v>17</v>
      </c>
      <c r="M166" t="s">
        <v>58</v>
      </c>
      <c r="N166">
        <f t="shared" si="2"/>
        <v>2900</v>
      </c>
    </row>
    <row r="167" spans="1:14" x14ac:dyDescent="0.3">
      <c r="A167" t="s">
        <v>424</v>
      </c>
      <c r="B167" s="4">
        <v>46214</v>
      </c>
      <c r="C167" t="s">
        <v>196</v>
      </c>
      <c r="D167" t="s">
        <v>21</v>
      </c>
      <c r="E167" t="s">
        <v>18</v>
      </c>
      <c r="F167" t="s">
        <v>48</v>
      </c>
      <c r="G167" t="s">
        <v>239</v>
      </c>
      <c r="H167" t="s">
        <v>240</v>
      </c>
      <c r="I167" t="s">
        <v>63</v>
      </c>
      <c r="J167">
        <v>1</v>
      </c>
      <c r="K167">
        <v>720</v>
      </c>
      <c r="L167" t="s">
        <v>9</v>
      </c>
      <c r="M167" t="s">
        <v>58</v>
      </c>
      <c r="N167">
        <f t="shared" si="2"/>
        <v>720</v>
      </c>
    </row>
    <row r="168" spans="1:14" x14ac:dyDescent="0.3">
      <c r="A168" t="s">
        <v>425</v>
      </c>
      <c r="B168" s="4">
        <v>46159</v>
      </c>
      <c r="C168" t="s">
        <v>291</v>
      </c>
      <c r="D168" t="s">
        <v>219</v>
      </c>
      <c r="E168" t="s">
        <v>19</v>
      </c>
      <c r="F168" t="s">
        <v>48</v>
      </c>
      <c r="G168" t="s">
        <v>67</v>
      </c>
      <c r="H168" t="s">
        <v>8</v>
      </c>
      <c r="I168" t="s">
        <v>68</v>
      </c>
      <c r="J168">
        <v>2</v>
      </c>
      <c r="K168">
        <v>1450</v>
      </c>
      <c r="L168" t="s">
        <v>7</v>
      </c>
      <c r="M168" t="s">
        <v>52</v>
      </c>
      <c r="N168">
        <f t="shared" si="2"/>
        <v>2900</v>
      </c>
    </row>
    <row r="169" spans="1:14" x14ac:dyDescent="0.3">
      <c r="A169" t="s">
        <v>426</v>
      </c>
      <c r="B169" s="4">
        <v>46061</v>
      </c>
      <c r="C169" t="s">
        <v>427</v>
      </c>
      <c r="D169" t="s">
        <v>428</v>
      </c>
      <c r="E169" t="s">
        <v>1</v>
      </c>
      <c r="F169" t="s">
        <v>48</v>
      </c>
      <c r="G169" t="s">
        <v>67</v>
      </c>
      <c r="H169" t="s">
        <v>8</v>
      </c>
      <c r="I169" t="s">
        <v>68</v>
      </c>
      <c r="J169">
        <v>1</v>
      </c>
      <c r="K169">
        <v>1450</v>
      </c>
      <c r="L169" t="s">
        <v>17</v>
      </c>
      <c r="M169" t="s">
        <v>52</v>
      </c>
      <c r="N169">
        <f t="shared" si="2"/>
        <v>1450</v>
      </c>
    </row>
    <row r="170" spans="1:14" x14ac:dyDescent="0.3">
      <c r="A170" t="s">
        <v>429</v>
      </c>
      <c r="B170" s="4">
        <v>46069</v>
      </c>
      <c r="C170" t="s">
        <v>270</v>
      </c>
      <c r="D170" t="s">
        <v>271</v>
      </c>
      <c r="E170" t="s">
        <v>18</v>
      </c>
      <c r="F170" t="s">
        <v>276</v>
      </c>
      <c r="G170" t="s">
        <v>183</v>
      </c>
      <c r="H170" t="s">
        <v>184</v>
      </c>
      <c r="I170" t="s">
        <v>111</v>
      </c>
      <c r="J170">
        <v>8</v>
      </c>
      <c r="K170">
        <v>180</v>
      </c>
      <c r="L170" t="s">
        <v>4</v>
      </c>
      <c r="M170" t="s">
        <v>105</v>
      </c>
      <c r="N170">
        <f t="shared" si="2"/>
        <v>1440</v>
      </c>
    </row>
    <row r="171" spans="1:14" x14ac:dyDescent="0.3">
      <c r="A171" t="s">
        <v>430</v>
      </c>
      <c r="B171" s="4">
        <v>46245</v>
      </c>
      <c r="C171" t="s">
        <v>394</v>
      </c>
      <c r="D171" t="s">
        <v>395</v>
      </c>
      <c r="E171" t="s">
        <v>15</v>
      </c>
      <c r="F171" t="s">
        <v>48</v>
      </c>
      <c r="G171" t="s">
        <v>61</v>
      </c>
      <c r="H171" t="s">
        <v>62</v>
      </c>
      <c r="I171" t="s">
        <v>63</v>
      </c>
      <c r="J171">
        <v>8</v>
      </c>
      <c r="K171">
        <v>110</v>
      </c>
      <c r="L171" t="s">
        <v>9</v>
      </c>
      <c r="M171" t="s">
        <v>105</v>
      </c>
      <c r="N171">
        <f t="shared" si="2"/>
        <v>880</v>
      </c>
    </row>
    <row r="172" spans="1:14" x14ac:dyDescent="0.3">
      <c r="A172" t="s">
        <v>431</v>
      </c>
      <c r="B172" s="4">
        <v>46137</v>
      </c>
      <c r="C172" t="s">
        <v>385</v>
      </c>
      <c r="D172" t="s">
        <v>386</v>
      </c>
      <c r="E172" t="s">
        <v>15</v>
      </c>
      <c r="F172" t="s">
        <v>48</v>
      </c>
      <c r="G172" t="s">
        <v>205</v>
      </c>
      <c r="H172" t="s">
        <v>206</v>
      </c>
      <c r="I172" t="s">
        <v>51</v>
      </c>
      <c r="J172">
        <v>3</v>
      </c>
      <c r="K172">
        <v>590</v>
      </c>
      <c r="L172" t="s">
        <v>17</v>
      </c>
      <c r="M172" t="s">
        <v>58</v>
      </c>
      <c r="N172">
        <f t="shared" si="2"/>
        <v>1770</v>
      </c>
    </row>
    <row r="173" spans="1:14" x14ac:dyDescent="0.3">
      <c r="A173" t="s">
        <v>432</v>
      </c>
      <c r="B173" s="4">
        <v>46042</v>
      </c>
      <c r="C173" t="s">
        <v>433</v>
      </c>
      <c r="D173" t="s">
        <v>130</v>
      </c>
      <c r="E173" t="s">
        <v>10</v>
      </c>
      <c r="F173" t="s">
        <v>48</v>
      </c>
      <c r="G173" t="s">
        <v>84</v>
      </c>
      <c r="H173" t="s">
        <v>85</v>
      </c>
      <c r="I173" t="s">
        <v>51</v>
      </c>
      <c r="J173">
        <v>1</v>
      </c>
      <c r="K173">
        <v>760</v>
      </c>
      <c r="L173" t="s">
        <v>14</v>
      </c>
      <c r="M173" t="s">
        <v>58</v>
      </c>
      <c r="N173">
        <f t="shared" si="2"/>
        <v>760</v>
      </c>
    </row>
    <row r="174" spans="1:14" x14ac:dyDescent="0.3">
      <c r="A174" t="s">
        <v>434</v>
      </c>
      <c r="B174" s="4">
        <v>46043</v>
      </c>
      <c r="C174" t="s">
        <v>357</v>
      </c>
      <c r="D174" t="s">
        <v>358</v>
      </c>
      <c r="E174" t="s">
        <v>15</v>
      </c>
      <c r="F174" t="s">
        <v>90</v>
      </c>
      <c r="G174" t="s">
        <v>239</v>
      </c>
      <c r="H174" t="s">
        <v>240</v>
      </c>
      <c r="I174" t="s">
        <v>63</v>
      </c>
      <c r="J174">
        <v>3</v>
      </c>
      <c r="K174">
        <v>684</v>
      </c>
      <c r="L174" t="s">
        <v>17</v>
      </c>
      <c r="M174" t="s">
        <v>105</v>
      </c>
      <c r="N174">
        <f t="shared" si="2"/>
        <v>2052</v>
      </c>
    </row>
    <row r="175" spans="1:14" x14ac:dyDescent="0.3">
      <c r="A175" t="s">
        <v>435</v>
      </c>
      <c r="B175" s="4">
        <v>46226</v>
      </c>
      <c r="C175" t="s">
        <v>288</v>
      </c>
      <c r="D175" t="s">
        <v>289</v>
      </c>
      <c r="E175" t="s">
        <v>18</v>
      </c>
      <c r="F175" t="s">
        <v>90</v>
      </c>
      <c r="G175" t="s">
        <v>49</v>
      </c>
      <c r="H175" t="s">
        <v>50</v>
      </c>
      <c r="I175" t="s">
        <v>51</v>
      </c>
      <c r="J175">
        <v>3</v>
      </c>
      <c r="K175">
        <v>90.25</v>
      </c>
      <c r="L175" t="s">
        <v>4</v>
      </c>
      <c r="M175" t="s">
        <v>52</v>
      </c>
      <c r="N175">
        <f t="shared" si="2"/>
        <v>270.75</v>
      </c>
    </row>
    <row r="176" spans="1:14" x14ac:dyDescent="0.3">
      <c r="A176" t="s">
        <v>436</v>
      </c>
      <c r="B176" s="4">
        <v>46152</v>
      </c>
      <c r="C176" t="s">
        <v>107</v>
      </c>
      <c r="D176" t="s">
        <v>108</v>
      </c>
      <c r="E176" t="s">
        <v>1</v>
      </c>
      <c r="F176" t="s">
        <v>72</v>
      </c>
      <c r="G176" t="s">
        <v>205</v>
      </c>
      <c r="H176" t="s">
        <v>206</v>
      </c>
      <c r="I176" t="s">
        <v>51</v>
      </c>
      <c r="J176">
        <v>1</v>
      </c>
      <c r="K176">
        <v>560.5</v>
      </c>
      <c r="L176" t="s">
        <v>4</v>
      </c>
      <c r="M176" t="s">
        <v>58</v>
      </c>
      <c r="N176">
        <f t="shared" si="2"/>
        <v>560.5</v>
      </c>
    </row>
    <row r="177" spans="1:14" x14ac:dyDescent="0.3">
      <c r="A177" t="s">
        <v>437</v>
      </c>
      <c r="B177" s="4">
        <v>46206</v>
      </c>
      <c r="C177" t="s">
        <v>438</v>
      </c>
      <c r="D177" t="s">
        <v>439</v>
      </c>
      <c r="E177" t="s">
        <v>18</v>
      </c>
      <c r="F177" t="s">
        <v>72</v>
      </c>
      <c r="G177" t="s">
        <v>61</v>
      </c>
      <c r="H177" t="s">
        <v>62</v>
      </c>
      <c r="I177" t="s">
        <v>63</v>
      </c>
      <c r="J177">
        <v>1</v>
      </c>
      <c r="K177">
        <v>110</v>
      </c>
      <c r="L177" t="s">
        <v>14</v>
      </c>
      <c r="M177" t="s">
        <v>52</v>
      </c>
      <c r="N177">
        <f t="shared" si="2"/>
        <v>110</v>
      </c>
    </row>
    <row r="178" spans="1:14" x14ac:dyDescent="0.3">
      <c r="A178" t="s">
        <v>440</v>
      </c>
      <c r="B178" s="4">
        <v>46136</v>
      </c>
      <c r="C178" t="s">
        <v>158</v>
      </c>
      <c r="D178" t="s">
        <v>159</v>
      </c>
      <c r="E178" t="s">
        <v>18</v>
      </c>
      <c r="F178" t="s">
        <v>48</v>
      </c>
      <c r="G178" t="s">
        <v>73</v>
      </c>
      <c r="H178" t="s">
        <v>74</v>
      </c>
      <c r="I178" t="s">
        <v>75</v>
      </c>
      <c r="J178">
        <v>2</v>
      </c>
      <c r="K178">
        <v>441</v>
      </c>
      <c r="L178" t="s">
        <v>9</v>
      </c>
      <c r="M178" t="s">
        <v>80</v>
      </c>
      <c r="N178">
        <f t="shared" si="2"/>
        <v>882</v>
      </c>
    </row>
    <row r="179" spans="1:14" x14ac:dyDescent="0.3">
      <c r="A179" t="s">
        <v>441</v>
      </c>
      <c r="B179" s="4">
        <v>46123</v>
      </c>
      <c r="C179" t="s">
        <v>357</v>
      </c>
      <c r="D179" t="s">
        <v>358</v>
      </c>
      <c r="E179" t="s">
        <v>15</v>
      </c>
      <c r="F179" t="s">
        <v>90</v>
      </c>
      <c r="G179" t="s">
        <v>239</v>
      </c>
      <c r="H179" t="s">
        <v>240</v>
      </c>
      <c r="I179" t="s">
        <v>63</v>
      </c>
      <c r="J179">
        <v>2</v>
      </c>
      <c r="K179">
        <v>720</v>
      </c>
      <c r="L179" t="s">
        <v>2</v>
      </c>
      <c r="M179" t="s">
        <v>58</v>
      </c>
      <c r="N179">
        <f t="shared" si="2"/>
        <v>1440</v>
      </c>
    </row>
    <row r="180" spans="1:14" x14ac:dyDescent="0.3">
      <c r="A180" t="s">
        <v>442</v>
      </c>
      <c r="B180" s="4">
        <v>46040</v>
      </c>
      <c r="C180" t="s">
        <v>121</v>
      </c>
      <c r="D180" t="s">
        <v>122</v>
      </c>
      <c r="E180" t="s">
        <v>18</v>
      </c>
      <c r="F180" t="s">
        <v>90</v>
      </c>
      <c r="G180" t="s">
        <v>61</v>
      </c>
      <c r="H180" t="s">
        <v>62</v>
      </c>
      <c r="I180" t="s">
        <v>63</v>
      </c>
      <c r="J180">
        <v>1</v>
      </c>
      <c r="K180">
        <v>115.5</v>
      </c>
      <c r="L180" t="s">
        <v>2</v>
      </c>
      <c r="M180" t="s">
        <v>105</v>
      </c>
      <c r="N180">
        <f t="shared" si="2"/>
        <v>115.5</v>
      </c>
    </row>
    <row r="181" spans="1:14" x14ac:dyDescent="0.3">
      <c r="A181" t="s">
        <v>443</v>
      </c>
      <c r="B181" s="4">
        <v>46209</v>
      </c>
      <c r="C181" t="s">
        <v>399</v>
      </c>
      <c r="D181" t="s">
        <v>400</v>
      </c>
      <c r="E181" t="s">
        <v>6</v>
      </c>
      <c r="F181" t="s">
        <v>72</v>
      </c>
      <c r="G181" t="s">
        <v>91</v>
      </c>
      <c r="H181" t="s">
        <v>13</v>
      </c>
      <c r="I181" t="s">
        <v>57</v>
      </c>
      <c r="J181">
        <v>5</v>
      </c>
      <c r="K181">
        <v>3255</v>
      </c>
      <c r="L181" t="s">
        <v>9</v>
      </c>
      <c r="M181" t="s">
        <v>80</v>
      </c>
      <c r="N181">
        <f t="shared" si="2"/>
        <v>16275</v>
      </c>
    </row>
    <row r="182" spans="1:14" x14ac:dyDescent="0.3">
      <c r="A182" t="s">
        <v>444</v>
      </c>
      <c r="B182" s="4">
        <v>46258</v>
      </c>
      <c r="C182" t="s">
        <v>319</v>
      </c>
      <c r="D182" t="s">
        <v>320</v>
      </c>
      <c r="E182" t="s">
        <v>1</v>
      </c>
      <c r="F182" t="s">
        <v>48</v>
      </c>
      <c r="G182" t="s">
        <v>208</v>
      </c>
      <c r="H182" t="s">
        <v>22</v>
      </c>
      <c r="I182" t="s">
        <v>68</v>
      </c>
      <c r="J182">
        <v>2</v>
      </c>
      <c r="K182">
        <v>2200</v>
      </c>
      <c r="L182" t="s">
        <v>9</v>
      </c>
      <c r="M182" t="s">
        <v>58</v>
      </c>
      <c r="N182">
        <f t="shared" si="2"/>
        <v>4400</v>
      </c>
    </row>
    <row r="183" spans="1:14" x14ac:dyDescent="0.3">
      <c r="A183" t="s">
        <v>445</v>
      </c>
      <c r="B183" s="4">
        <v>46120</v>
      </c>
      <c r="C183" t="s">
        <v>248</v>
      </c>
      <c r="D183" t="s">
        <v>94</v>
      </c>
      <c r="E183" t="s">
        <v>15</v>
      </c>
      <c r="F183" t="s">
        <v>90</v>
      </c>
      <c r="G183" t="s">
        <v>49</v>
      </c>
      <c r="H183" t="s">
        <v>50</v>
      </c>
      <c r="I183" t="s">
        <v>51</v>
      </c>
      <c r="J183">
        <v>3</v>
      </c>
      <c r="K183">
        <v>95</v>
      </c>
      <c r="L183" t="s">
        <v>9</v>
      </c>
      <c r="M183" t="s">
        <v>58</v>
      </c>
      <c r="N183">
        <f t="shared" si="2"/>
        <v>285</v>
      </c>
    </row>
    <row r="184" spans="1:14" x14ac:dyDescent="0.3">
      <c r="A184" t="s">
        <v>446</v>
      </c>
      <c r="B184" s="4">
        <v>46154</v>
      </c>
      <c r="C184" t="s">
        <v>82</v>
      </c>
      <c r="D184" t="s">
        <v>83</v>
      </c>
      <c r="E184" t="s">
        <v>10</v>
      </c>
      <c r="F184" t="s">
        <v>72</v>
      </c>
      <c r="G184" t="s">
        <v>95</v>
      </c>
      <c r="H184" t="s">
        <v>96</v>
      </c>
      <c r="I184" t="s">
        <v>75</v>
      </c>
      <c r="J184">
        <v>2</v>
      </c>
      <c r="K184">
        <v>650</v>
      </c>
      <c r="L184" t="s">
        <v>7</v>
      </c>
      <c r="M184" t="s">
        <v>52</v>
      </c>
      <c r="N184">
        <f t="shared" si="2"/>
        <v>1300</v>
      </c>
    </row>
    <row r="185" spans="1:14" x14ac:dyDescent="0.3">
      <c r="A185" t="s">
        <v>447</v>
      </c>
      <c r="B185" s="4">
        <v>46220</v>
      </c>
      <c r="C185" t="s">
        <v>361</v>
      </c>
      <c r="D185" t="s">
        <v>362</v>
      </c>
      <c r="E185" t="s">
        <v>15</v>
      </c>
      <c r="F185" t="s">
        <v>48</v>
      </c>
      <c r="G185" t="s">
        <v>61</v>
      </c>
      <c r="H185" t="s">
        <v>62</v>
      </c>
      <c r="I185" t="s">
        <v>63</v>
      </c>
      <c r="J185">
        <v>2</v>
      </c>
      <c r="K185">
        <v>110</v>
      </c>
      <c r="L185" t="s">
        <v>9</v>
      </c>
      <c r="M185" t="s">
        <v>52</v>
      </c>
      <c r="N185">
        <f t="shared" si="2"/>
        <v>220</v>
      </c>
    </row>
    <row r="186" spans="1:14" x14ac:dyDescent="0.3">
      <c r="A186" t="s">
        <v>448</v>
      </c>
      <c r="B186" s="4">
        <v>46240</v>
      </c>
      <c r="C186" t="s">
        <v>260</v>
      </c>
      <c r="D186" t="s">
        <v>261</v>
      </c>
      <c r="E186" t="s">
        <v>1</v>
      </c>
      <c r="F186" t="s">
        <v>48</v>
      </c>
      <c r="G186" t="s">
        <v>239</v>
      </c>
      <c r="H186" t="s">
        <v>240</v>
      </c>
      <c r="I186" t="s">
        <v>63</v>
      </c>
      <c r="J186">
        <v>4</v>
      </c>
      <c r="K186">
        <v>756</v>
      </c>
      <c r="L186" t="s">
        <v>17</v>
      </c>
      <c r="M186" t="s">
        <v>58</v>
      </c>
      <c r="N186">
        <f t="shared" si="2"/>
        <v>3024</v>
      </c>
    </row>
    <row r="187" spans="1:14" x14ac:dyDescent="0.3">
      <c r="A187" t="s">
        <v>449</v>
      </c>
      <c r="B187" s="4">
        <v>46248</v>
      </c>
      <c r="C187" t="s">
        <v>77</v>
      </c>
      <c r="D187" t="s">
        <v>78</v>
      </c>
      <c r="E187" t="s">
        <v>6</v>
      </c>
      <c r="F187" t="s">
        <v>72</v>
      </c>
      <c r="G187" t="s">
        <v>61</v>
      </c>
      <c r="H187" t="s">
        <v>62</v>
      </c>
      <c r="I187" t="s">
        <v>63</v>
      </c>
      <c r="J187">
        <v>4</v>
      </c>
      <c r="K187">
        <v>110</v>
      </c>
      <c r="L187" t="s">
        <v>17</v>
      </c>
      <c r="M187" t="s">
        <v>105</v>
      </c>
      <c r="N187">
        <f t="shared" si="2"/>
        <v>440</v>
      </c>
    </row>
    <row r="188" spans="1:14" x14ac:dyDescent="0.3">
      <c r="A188" t="s">
        <v>450</v>
      </c>
      <c r="B188" s="4">
        <v>46070</v>
      </c>
      <c r="C188" t="s">
        <v>451</v>
      </c>
      <c r="D188" t="s">
        <v>452</v>
      </c>
      <c r="E188" t="s">
        <v>6</v>
      </c>
      <c r="F188" t="s">
        <v>72</v>
      </c>
      <c r="G188" t="s">
        <v>123</v>
      </c>
      <c r="H188" t="s">
        <v>124</v>
      </c>
      <c r="I188" t="s">
        <v>111</v>
      </c>
      <c r="J188">
        <v>4</v>
      </c>
      <c r="K188">
        <v>168</v>
      </c>
      <c r="L188" t="s">
        <v>9</v>
      </c>
      <c r="M188" t="s">
        <v>105</v>
      </c>
      <c r="N188">
        <f t="shared" si="2"/>
        <v>672</v>
      </c>
    </row>
    <row r="189" spans="1:14" x14ac:dyDescent="0.3">
      <c r="A189" t="s">
        <v>453</v>
      </c>
      <c r="B189" s="4">
        <v>46117</v>
      </c>
      <c r="C189" t="s">
        <v>129</v>
      </c>
      <c r="D189" t="s">
        <v>130</v>
      </c>
      <c r="E189" t="s">
        <v>15</v>
      </c>
      <c r="F189" t="s">
        <v>90</v>
      </c>
      <c r="G189" t="s">
        <v>95</v>
      </c>
      <c r="H189" t="s">
        <v>96</v>
      </c>
      <c r="I189" t="s">
        <v>75</v>
      </c>
      <c r="J189">
        <v>3</v>
      </c>
      <c r="K189">
        <v>650</v>
      </c>
      <c r="L189" t="s">
        <v>4</v>
      </c>
      <c r="M189" t="s">
        <v>80</v>
      </c>
      <c r="N189">
        <f t="shared" si="2"/>
        <v>1950</v>
      </c>
    </row>
    <row r="190" spans="1:14" x14ac:dyDescent="0.3">
      <c r="A190" t="s">
        <v>454</v>
      </c>
      <c r="B190" s="4">
        <v>46083</v>
      </c>
      <c r="C190" t="s">
        <v>143</v>
      </c>
      <c r="D190" t="s">
        <v>144</v>
      </c>
      <c r="E190" t="s">
        <v>15</v>
      </c>
      <c r="F190" t="s">
        <v>48</v>
      </c>
      <c r="G190" t="s">
        <v>73</v>
      </c>
      <c r="H190" t="s">
        <v>74</v>
      </c>
      <c r="I190" t="s">
        <v>75</v>
      </c>
      <c r="J190">
        <v>2</v>
      </c>
      <c r="K190">
        <v>420</v>
      </c>
      <c r="L190" t="s">
        <v>4</v>
      </c>
      <c r="M190" t="s">
        <v>52</v>
      </c>
      <c r="N190">
        <f t="shared" si="2"/>
        <v>840</v>
      </c>
    </row>
    <row r="191" spans="1:14" x14ac:dyDescent="0.3">
      <c r="A191" t="s">
        <v>455</v>
      </c>
      <c r="B191" s="4">
        <v>46142</v>
      </c>
      <c r="C191" t="s">
        <v>357</v>
      </c>
      <c r="D191" t="s">
        <v>358</v>
      </c>
      <c r="E191" t="s">
        <v>15</v>
      </c>
      <c r="F191" t="s">
        <v>90</v>
      </c>
      <c r="G191" t="s">
        <v>73</v>
      </c>
      <c r="H191" t="s">
        <v>74</v>
      </c>
      <c r="I191" t="s">
        <v>75</v>
      </c>
      <c r="J191">
        <v>4</v>
      </c>
      <c r="K191">
        <v>420</v>
      </c>
      <c r="L191" t="s">
        <v>17</v>
      </c>
      <c r="M191" t="s">
        <v>105</v>
      </c>
      <c r="N191">
        <f t="shared" si="2"/>
        <v>1680</v>
      </c>
    </row>
    <row r="192" spans="1:14" x14ac:dyDescent="0.3">
      <c r="A192" t="s">
        <v>456</v>
      </c>
      <c r="B192" s="4">
        <v>46229</v>
      </c>
      <c r="C192" t="s">
        <v>457</v>
      </c>
      <c r="D192" t="s">
        <v>458</v>
      </c>
      <c r="E192" t="s">
        <v>1</v>
      </c>
      <c r="F192" t="s">
        <v>48</v>
      </c>
      <c r="G192" t="s">
        <v>79</v>
      </c>
      <c r="H192" t="s">
        <v>11</v>
      </c>
      <c r="I192" t="s">
        <v>57</v>
      </c>
      <c r="J192">
        <v>3</v>
      </c>
      <c r="K192">
        <v>5200</v>
      </c>
      <c r="L192" t="s">
        <v>14</v>
      </c>
      <c r="M192" t="s">
        <v>105</v>
      </c>
      <c r="N192">
        <f t="shared" si="2"/>
        <v>15600</v>
      </c>
    </row>
    <row r="193" spans="1:14" x14ac:dyDescent="0.3">
      <c r="A193" t="s">
        <v>459</v>
      </c>
      <c r="B193" s="4">
        <v>46165</v>
      </c>
      <c r="C193" t="s">
        <v>303</v>
      </c>
      <c r="D193" t="s">
        <v>115</v>
      </c>
      <c r="E193" t="s">
        <v>1</v>
      </c>
      <c r="F193" t="s">
        <v>48</v>
      </c>
      <c r="G193" t="s">
        <v>201</v>
      </c>
      <c r="H193" t="s">
        <v>202</v>
      </c>
      <c r="I193" t="s">
        <v>63</v>
      </c>
      <c r="J193">
        <v>6</v>
      </c>
      <c r="K193">
        <v>504</v>
      </c>
      <c r="L193" t="s">
        <v>14</v>
      </c>
      <c r="M193" t="s">
        <v>80</v>
      </c>
      <c r="N193">
        <f t="shared" si="2"/>
        <v>3024</v>
      </c>
    </row>
    <row r="194" spans="1:14" x14ac:dyDescent="0.3">
      <c r="A194" t="s">
        <v>460</v>
      </c>
      <c r="B194" s="4">
        <v>46093</v>
      </c>
      <c r="C194" t="s">
        <v>319</v>
      </c>
      <c r="D194" t="s">
        <v>320</v>
      </c>
      <c r="E194" t="s">
        <v>1</v>
      </c>
      <c r="F194" t="s">
        <v>48</v>
      </c>
      <c r="G194" t="s">
        <v>123</v>
      </c>
      <c r="H194" t="s">
        <v>124</v>
      </c>
      <c r="I194" t="s">
        <v>111</v>
      </c>
      <c r="J194">
        <v>2</v>
      </c>
      <c r="K194">
        <v>168</v>
      </c>
      <c r="L194" t="s">
        <v>9</v>
      </c>
      <c r="M194" t="s">
        <v>105</v>
      </c>
      <c r="N194">
        <f t="shared" si="2"/>
        <v>336</v>
      </c>
    </row>
    <row r="195" spans="1:14" x14ac:dyDescent="0.3">
      <c r="A195" t="s">
        <v>461</v>
      </c>
      <c r="B195" s="4">
        <v>46233</v>
      </c>
      <c r="C195" t="s">
        <v>126</v>
      </c>
      <c r="D195" t="s">
        <v>127</v>
      </c>
      <c r="E195" t="s">
        <v>15</v>
      </c>
      <c r="F195" t="s">
        <v>72</v>
      </c>
      <c r="G195" t="s">
        <v>56</v>
      </c>
      <c r="H195" t="s">
        <v>3</v>
      </c>
      <c r="I195" t="s">
        <v>57</v>
      </c>
      <c r="J195">
        <v>2</v>
      </c>
      <c r="K195">
        <v>8200</v>
      </c>
      <c r="L195" t="s">
        <v>14</v>
      </c>
      <c r="M195" t="s">
        <v>105</v>
      </c>
      <c r="N195">
        <f t="shared" ref="N195:N258" si="3">J195*K195</f>
        <v>16400</v>
      </c>
    </row>
    <row r="196" spans="1:14" x14ac:dyDescent="0.3">
      <c r="A196" t="s">
        <v>462</v>
      </c>
      <c r="B196" s="4">
        <v>46152</v>
      </c>
      <c r="C196" t="s">
        <v>463</v>
      </c>
      <c r="D196" t="s">
        <v>264</v>
      </c>
      <c r="E196" t="s">
        <v>6</v>
      </c>
      <c r="F196" t="s">
        <v>90</v>
      </c>
      <c r="G196" t="s">
        <v>109</v>
      </c>
      <c r="H196" t="s">
        <v>110</v>
      </c>
      <c r="I196" t="s">
        <v>111</v>
      </c>
      <c r="J196">
        <v>2</v>
      </c>
      <c r="K196">
        <v>320</v>
      </c>
      <c r="L196" t="s">
        <v>14</v>
      </c>
      <c r="M196" t="s">
        <v>80</v>
      </c>
      <c r="N196">
        <f t="shared" si="3"/>
        <v>640</v>
      </c>
    </row>
    <row r="197" spans="1:14" x14ac:dyDescent="0.3">
      <c r="A197" t="s">
        <v>464</v>
      </c>
      <c r="B197" s="4">
        <v>46105</v>
      </c>
      <c r="C197" t="s">
        <v>186</v>
      </c>
      <c r="D197" t="s">
        <v>187</v>
      </c>
      <c r="E197" t="s">
        <v>6</v>
      </c>
      <c r="F197" t="s">
        <v>72</v>
      </c>
      <c r="G197" t="s">
        <v>136</v>
      </c>
      <c r="H197" t="s">
        <v>137</v>
      </c>
      <c r="I197" t="s">
        <v>111</v>
      </c>
      <c r="J197">
        <v>6</v>
      </c>
      <c r="K197">
        <v>85</v>
      </c>
      <c r="L197" t="s">
        <v>9</v>
      </c>
      <c r="M197" t="s">
        <v>52</v>
      </c>
      <c r="N197">
        <f t="shared" si="3"/>
        <v>510</v>
      </c>
    </row>
    <row r="198" spans="1:14" x14ac:dyDescent="0.3">
      <c r="A198" t="s">
        <v>465</v>
      </c>
      <c r="B198" s="4">
        <v>46258</v>
      </c>
      <c r="C198" t="s">
        <v>466</v>
      </c>
      <c r="D198" t="s">
        <v>147</v>
      </c>
      <c r="E198" t="s">
        <v>10</v>
      </c>
      <c r="F198" t="s">
        <v>48</v>
      </c>
      <c r="G198" t="s">
        <v>239</v>
      </c>
      <c r="H198" t="s">
        <v>240</v>
      </c>
      <c r="I198" t="s">
        <v>63</v>
      </c>
      <c r="J198">
        <v>4</v>
      </c>
      <c r="K198">
        <v>720</v>
      </c>
      <c r="L198" t="s">
        <v>2</v>
      </c>
      <c r="M198" t="s">
        <v>105</v>
      </c>
      <c r="N198">
        <f t="shared" si="3"/>
        <v>2880</v>
      </c>
    </row>
    <row r="199" spans="1:14" x14ac:dyDescent="0.3">
      <c r="A199" t="s">
        <v>467</v>
      </c>
      <c r="B199" s="4">
        <v>46255</v>
      </c>
      <c r="C199" t="s">
        <v>380</v>
      </c>
      <c r="D199" t="s">
        <v>381</v>
      </c>
      <c r="E199" t="s">
        <v>18</v>
      </c>
      <c r="F199" t="s">
        <v>72</v>
      </c>
      <c r="G199" t="s">
        <v>136</v>
      </c>
      <c r="H199" t="s">
        <v>137</v>
      </c>
      <c r="I199" t="s">
        <v>111</v>
      </c>
      <c r="J199">
        <v>1</v>
      </c>
      <c r="K199">
        <v>85</v>
      </c>
      <c r="L199" t="s">
        <v>9</v>
      </c>
      <c r="M199" t="s">
        <v>52</v>
      </c>
      <c r="N199">
        <f t="shared" si="3"/>
        <v>85</v>
      </c>
    </row>
    <row r="200" spans="1:14" x14ac:dyDescent="0.3">
      <c r="A200" t="s">
        <v>468</v>
      </c>
      <c r="B200" s="4">
        <v>46132</v>
      </c>
      <c r="C200" t="s">
        <v>293</v>
      </c>
      <c r="D200" t="s">
        <v>254</v>
      </c>
      <c r="E200" t="s">
        <v>19</v>
      </c>
      <c r="F200" t="s">
        <v>90</v>
      </c>
      <c r="G200" t="s">
        <v>84</v>
      </c>
      <c r="H200" t="s">
        <v>85</v>
      </c>
      <c r="I200" t="s">
        <v>51</v>
      </c>
      <c r="J200">
        <v>1</v>
      </c>
      <c r="K200">
        <v>760</v>
      </c>
      <c r="L200" t="s">
        <v>9</v>
      </c>
      <c r="M200" t="s">
        <v>80</v>
      </c>
      <c r="N200">
        <f t="shared" si="3"/>
        <v>760</v>
      </c>
    </row>
    <row r="201" spans="1:14" x14ac:dyDescent="0.3">
      <c r="A201" t="s">
        <v>469</v>
      </c>
      <c r="B201" s="4">
        <v>46085</v>
      </c>
      <c r="C201" t="s">
        <v>470</v>
      </c>
      <c r="D201" t="s">
        <v>471</v>
      </c>
      <c r="E201" t="s">
        <v>1</v>
      </c>
      <c r="F201" t="s">
        <v>90</v>
      </c>
      <c r="G201" t="s">
        <v>163</v>
      </c>
      <c r="H201" t="s">
        <v>164</v>
      </c>
      <c r="I201" t="s">
        <v>111</v>
      </c>
      <c r="J201">
        <v>2</v>
      </c>
      <c r="K201">
        <v>252</v>
      </c>
      <c r="L201" t="s">
        <v>4</v>
      </c>
      <c r="M201" t="s">
        <v>58</v>
      </c>
      <c r="N201">
        <f t="shared" si="3"/>
        <v>504</v>
      </c>
    </row>
    <row r="202" spans="1:14" x14ac:dyDescent="0.3">
      <c r="A202" t="s">
        <v>472</v>
      </c>
      <c r="B202" s="4">
        <v>46176</v>
      </c>
      <c r="C202" t="s">
        <v>89</v>
      </c>
      <c r="D202" t="s">
        <v>12</v>
      </c>
      <c r="E202" t="s">
        <v>1</v>
      </c>
      <c r="F202" t="s">
        <v>90</v>
      </c>
      <c r="G202" t="s">
        <v>205</v>
      </c>
      <c r="H202" t="s">
        <v>206</v>
      </c>
      <c r="I202" t="s">
        <v>51</v>
      </c>
      <c r="J202">
        <v>2</v>
      </c>
      <c r="K202">
        <v>619.5</v>
      </c>
      <c r="L202" t="s">
        <v>17</v>
      </c>
      <c r="M202" t="s">
        <v>52</v>
      </c>
      <c r="N202">
        <f t="shared" si="3"/>
        <v>1239</v>
      </c>
    </row>
    <row r="203" spans="1:14" x14ac:dyDescent="0.3">
      <c r="A203" t="s">
        <v>473</v>
      </c>
      <c r="B203" s="4">
        <v>46098</v>
      </c>
      <c r="C203" t="s">
        <v>474</v>
      </c>
      <c r="D203" t="s">
        <v>417</v>
      </c>
      <c r="E203" t="s">
        <v>19</v>
      </c>
      <c r="F203" t="s">
        <v>90</v>
      </c>
      <c r="G203" t="s">
        <v>208</v>
      </c>
      <c r="H203" t="s">
        <v>22</v>
      </c>
      <c r="I203" t="s">
        <v>68</v>
      </c>
      <c r="J203">
        <v>2</v>
      </c>
      <c r="K203">
        <v>2310</v>
      </c>
      <c r="L203" t="s">
        <v>7</v>
      </c>
      <c r="M203" t="s">
        <v>52</v>
      </c>
      <c r="N203">
        <f t="shared" si="3"/>
        <v>4620</v>
      </c>
    </row>
    <row r="204" spans="1:14" x14ac:dyDescent="0.3">
      <c r="A204" t="s">
        <v>475</v>
      </c>
      <c r="B204" s="4">
        <v>46071</v>
      </c>
      <c r="C204" t="s">
        <v>237</v>
      </c>
      <c r="D204" t="s">
        <v>238</v>
      </c>
      <c r="E204" t="s">
        <v>10</v>
      </c>
      <c r="F204" t="s">
        <v>72</v>
      </c>
      <c r="G204" t="s">
        <v>95</v>
      </c>
      <c r="H204" t="s">
        <v>96</v>
      </c>
      <c r="I204" t="s">
        <v>75</v>
      </c>
      <c r="J204">
        <v>3</v>
      </c>
      <c r="K204">
        <v>617.5</v>
      </c>
      <c r="L204" t="s">
        <v>17</v>
      </c>
      <c r="M204" t="s">
        <v>80</v>
      </c>
      <c r="N204">
        <f t="shared" si="3"/>
        <v>1852.5</v>
      </c>
    </row>
    <row r="205" spans="1:14" x14ac:dyDescent="0.3">
      <c r="A205" t="s">
        <v>476</v>
      </c>
      <c r="B205" s="4">
        <v>46163</v>
      </c>
      <c r="C205" t="s">
        <v>385</v>
      </c>
      <c r="D205" t="s">
        <v>386</v>
      </c>
      <c r="E205" t="s">
        <v>15</v>
      </c>
      <c r="F205" t="s">
        <v>48</v>
      </c>
      <c r="G205" t="s">
        <v>84</v>
      </c>
      <c r="H205" t="s">
        <v>85</v>
      </c>
      <c r="I205" t="s">
        <v>51</v>
      </c>
      <c r="J205">
        <v>2</v>
      </c>
      <c r="K205">
        <v>798</v>
      </c>
      <c r="L205" t="s">
        <v>17</v>
      </c>
      <c r="M205" t="s">
        <v>58</v>
      </c>
      <c r="N205">
        <f t="shared" si="3"/>
        <v>1596</v>
      </c>
    </row>
    <row r="206" spans="1:14" x14ac:dyDescent="0.3">
      <c r="A206" t="s">
        <v>477</v>
      </c>
      <c r="B206" s="4">
        <v>46035</v>
      </c>
      <c r="C206" t="s">
        <v>98</v>
      </c>
      <c r="D206" t="s">
        <v>16</v>
      </c>
      <c r="E206" t="s">
        <v>1</v>
      </c>
      <c r="F206" t="s">
        <v>48</v>
      </c>
      <c r="G206" t="s">
        <v>205</v>
      </c>
      <c r="H206" t="s">
        <v>206</v>
      </c>
      <c r="I206" t="s">
        <v>51</v>
      </c>
      <c r="J206">
        <v>3</v>
      </c>
      <c r="K206">
        <v>590</v>
      </c>
      <c r="L206" t="s">
        <v>7</v>
      </c>
      <c r="M206" t="s">
        <v>58</v>
      </c>
      <c r="N206">
        <f t="shared" si="3"/>
        <v>1770</v>
      </c>
    </row>
    <row r="207" spans="1:14" x14ac:dyDescent="0.3">
      <c r="A207" t="s">
        <v>478</v>
      </c>
      <c r="B207" s="4">
        <v>46112</v>
      </c>
      <c r="C207" t="s">
        <v>433</v>
      </c>
      <c r="D207" t="s">
        <v>130</v>
      </c>
      <c r="E207" t="s">
        <v>10</v>
      </c>
      <c r="F207" t="s">
        <v>48</v>
      </c>
      <c r="G207" t="s">
        <v>183</v>
      </c>
      <c r="H207" t="s">
        <v>184</v>
      </c>
      <c r="I207" t="s">
        <v>111</v>
      </c>
      <c r="J207">
        <v>1</v>
      </c>
      <c r="K207">
        <v>171</v>
      </c>
      <c r="L207" t="s">
        <v>17</v>
      </c>
      <c r="M207" t="s">
        <v>80</v>
      </c>
      <c r="N207">
        <f t="shared" si="3"/>
        <v>171</v>
      </c>
    </row>
    <row r="208" spans="1:14" x14ac:dyDescent="0.3">
      <c r="A208" t="s">
        <v>479</v>
      </c>
      <c r="B208" s="4">
        <v>46114</v>
      </c>
      <c r="C208" t="s">
        <v>140</v>
      </c>
      <c r="D208" t="s">
        <v>141</v>
      </c>
      <c r="E208" t="s">
        <v>1</v>
      </c>
      <c r="F208" t="s">
        <v>48</v>
      </c>
      <c r="G208" t="s">
        <v>163</v>
      </c>
      <c r="H208" t="s">
        <v>164</v>
      </c>
      <c r="I208" t="s">
        <v>111</v>
      </c>
      <c r="J208">
        <v>2</v>
      </c>
      <c r="K208">
        <v>240</v>
      </c>
      <c r="L208" t="s">
        <v>2</v>
      </c>
      <c r="M208" t="s">
        <v>105</v>
      </c>
      <c r="N208">
        <f t="shared" si="3"/>
        <v>480</v>
      </c>
    </row>
    <row r="209" spans="1:14" x14ac:dyDescent="0.3">
      <c r="A209" t="s">
        <v>480</v>
      </c>
      <c r="B209" s="4">
        <v>46185</v>
      </c>
      <c r="C209" t="s">
        <v>234</v>
      </c>
      <c r="D209" t="s">
        <v>235</v>
      </c>
      <c r="E209" t="s">
        <v>15</v>
      </c>
      <c r="F209" t="s">
        <v>90</v>
      </c>
      <c r="G209" t="s">
        <v>205</v>
      </c>
      <c r="H209" t="s">
        <v>206</v>
      </c>
      <c r="I209" t="s">
        <v>51</v>
      </c>
      <c r="J209">
        <v>1</v>
      </c>
      <c r="K209">
        <v>590</v>
      </c>
      <c r="L209" t="s">
        <v>14</v>
      </c>
      <c r="M209" t="s">
        <v>105</v>
      </c>
      <c r="N209">
        <f t="shared" si="3"/>
        <v>590</v>
      </c>
    </row>
    <row r="210" spans="1:14" x14ac:dyDescent="0.3">
      <c r="A210" t="s">
        <v>481</v>
      </c>
      <c r="B210" s="4">
        <v>46075</v>
      </c>
      <c r="C210" t="s">
        <v>466</v>
      </c>
      <c r="D210" t="s">
        <v>147</v>
      </c>
      <c r="E210" t="s">
        <v>10</v>
      </c>
      <c r="F210" t="s">
        <v>48</v>
      </c>
      <c r="G210" t="s">
        <v>239</v>
      </c>
      <c r="H210" t="s">
        <v>240</v>
      </c>
      <c r="I210" t="s">
        <v>63</v>
      </c>
      <c r="J210">
        <v>1</v>
      </c>
      <c r="K210">
        <v>720</v>
      </c>
      <c r="L210" t="s">
        <v>14</v>
      </c>
      <c r="M210" t="s">
        <v>80</v>
      </c>
      <c r="N210">
        <f t="shared" si="3"/>
        <v>720</v>
      </c>
    </row>
    <row r="211" spans="1:14" x14ac:dyDescent="0.3">
      <c r="A211" t="s">
        <v>482</v>
      </c>
      <c r="B211" s="4">
        <v>46155</v>
      </c>
      <c r="C211" t="s">
        <v>483</v>
      </c>
      <c r="D211" t="s">
        <v>484</v>
      </c>
      <c r="E211" t="s">
        <v>15</v>
      </c>
      <c r="F211" t="s">
        <v>72</v>
      </c>
      <c r="G211" t="s">
        <v>239</v>
      </c>
      <c r="H211" t="s">
        <v>240</v>
      </c>
      <c r="I211" t="s">
        <v>63</v>
      </c>
      <c r="J211">
        <v>2</v>
      </c>
      <c r="K211">
        <v>756</v>
      </c>
      <c r="L211" t="s">
        <v>4</v>
      </c>
      <c r="M211" t="s">
        <v>80</v>
      </c>
      <c r="N211">
        <f t="shared" si="3"/>
        <v>1512</v>
      </c>
    </row>
    <row r="212" spans="1:14" x14ac:dyDescent="0.3">
      <c r="A212" t="s">
        <v>485</v>
      </c>
      <c r="B212" s="4">
        <v>46097</v>
      </c>
      <c r="C212" t="s">
        <v>466</v>
      </c>
      <c r="D212" t="s">
        <v>147</v>
      </c>
      <c r="E212" t="s">
        <v>10</v>
      </c>
      <c r="F212" t="s">
        <v>48</v>
      </c>
      <c r="G212" t="s">
        <v>79</v>
      </c>
      <c r="H212" t="s">
        <v>11</v>
      </c>
      <c r="I212" t="s">
        <v>57</v>
      </c>
      <c r="J212">
        <v>2</v>
      </c>
      <c r="K212">
        <v>4940</v>
      </c>
      <c r="L212" t="s">
        <v>2</v>
      </c>
      <c r="M212" t="s">
        <v>80</v>
      </c>
      <c r="N212">
        <f t="shared" si="3"/>
        <v>9880</v>
      </c>
    </row>
    <row r="213" spans="1:14" x14ac:dyDescent="0.3">
      <c r="A213" t="s">
        <v>486</v>
      </c>
      <c r="B213" s="4">
        <v>46228</v>
      </c>
      <c r="C213" t="s">
        <v>411</v>
      </c>
      <c r="D213" t="s">
        <v>324</v>
      </c>
      <c r="E213" t="s">
        <v>19</v>
      </c>
      <c r="F213" t="s">
        <v>48</v>
      </c>
      <c r="G213" t="s">
        <v>67</v>
      </c>
      <c r="H213" t="s">
        <v>8</v>
      </c>
      <c r="I213" t="s">
        <v>68</v>
      </c>
      <c r="J213">
        <v>2</v>
      </c>
      <c r="K213">
        <v>1450</v>
      </c>
      <c r="L213" t="s">
        <v>2</v>
      </c>
      <c r="M213" t="s">
        <v>105</v>
      </c>
      <c r="N213">
        <f t="shared" si="3"/>
        <v>2900</v>
      </c>
    </row>
    <row r="214" spans="1:14" x14ac:dyDescent="0.3">
      <c r="A214" t="s">
        <v>487</v>
      </c>
      <c r="B214" s="4">
        <v>46110</v>
      </c>
      <c r="C214" t="s">
        <v>146</v>
      </c>
      <c r="D214" t="s">
        <v>147</v>
      </c>
      <c r="E214" t="s">
        <v>15</v>
      </c>
      <c r="F214" t="s">
        <v>90</v>
      </c>
      <c r="G214" t="s">
        <v>109</v>
      </c>
      <c r="H214" t="s">
        <v>110</v>
      </c>
      <c r="I214" t="s">
        <v>111</v>
      </c>
      <c r="J214">
        <v>8</v>
      </c>
      <c r="K214">
        <v>320</v>
      </c>
      <c r="L214" t="s">
        <v>2</v>
      </c>
      <c r="M214" t="s">
        <v>105</v>
      </c>
      <c r="N214">
        <f t="shared" si="3"/>
        <v>2560</v>
      </c>
    </row>
    <row r="215" spans="1:14" x14ac:dyDescent="0.3">
      <c r="A215" t="s">
        <v>488</v>
      </c>
      <c r="B215" s="4">
        <v>46092</v>
      </c>
      <c r="C215" t="s">
        <v>357</v>
      </c>
      <c r="D215" t="s">
        <v>358</v>
      </c>
      <c r="E215" t="s">
        <v>15</v>
      </c>
      <c r="F215" t="s">
        <v>90</v>
      </c>
      <c r="G215" t="s">
        <v>84</v>
      </c>
      <c r="H215" t="s">
        <v>85</v>
      </c>
      <c r="I215" t="s">
        <v>51</v>
      </c>
      <c r="J215">
        <v>4</v>
      </c>
      <c r="K215">
        <v>760</v>
      </c>
      <c r="L215" t="s">
        <v>14</v>
      </c>
      <c r="M215" t="s">
        <v>105</v>
      </c>
      <c r="N215">
        <f t="shared" si="3"/>
        <v>3040</v>
      </c>
    </row>
    <row r="216" spans="1:14" x14ac:dyDescent="0.3">
      <c r="A216" t="s">
        <v>489</v>
      </c>
      <c r="B216" s="4">
        <v>46163</v>
      </c>
      <c r="C216" t="s">
        <v>267</v>
      </c>
      <c r="D216" t="s">
        <v>268</v>
      </c>
      <c r="E216" t="s">
        <v>19</v>
      </c>
      <c r="F216" t="s">
        <v>72</v>
      </c>
      <c r="G216" t="s">
        <v>123</v>
      </c>
      <c r="H216" t="s">
        <v>124</v>
      </c>
      <c r="I216" t="s">
        <v>111</v>
      </c>
      <c r="J216">
        <v>1</v>
      </c>
      <c r="K216">
        <v>152</v>
      </c>
      <c r="L216" t="s">
        <v>14</v>
      </c>
      <c r="M216" t="s">
        <v>80</v>
      </c>
      <c r="N216">
        <f t="shared" si="3"/>
        <v>152</v>
      </c>
    </row>
    <row r="217" spans="1:14" x14ac:dyDescent="0.3">
      <c r="A217" t="s">
        <v>490</v>
      </c>
      <c r="B217" s="4">
        <v>46102</v>
      </c>
      <c r="C217" t="s">
        <v>77</v>
      </c>
      <c r="D217" t="s">
        <v>78</v>
      </c>
      <c r="E217" t="s">
        <v>6</v>
      </c>
      <c r="F217" t="s">
        <v>72</v>
      </c>
      <c r="G217" t="s">
        <v>239</v>
      </c>
      <c r="H217" t="s">
        <v>240</v>
      </c>
      <c r="I217" t="s">
        <v>63</v>
      </c>
      <c r="J217">
        <v>2</v>
      </c>
      <c r="K217">
        <v>720</v>
      </c>
      <c r="L217" t="s">
        <v>9</v>
      </c>
      <c r="M217" t="s">
        <v>105</v>
      </c>
      <c r="N217">
        <f t="shared" si="3"/>
        <v>1440</v>
      </c>
    </row>
    <row r="218" spans="1:14" x14ac:dyDescent="0.3">
      <c r="A218" t="s">
        <v>491</v>
      </c>
      <c r="B218" s="4">
        <v>46034</v>
      </c>
      <c r="C218" t="s">
        <v>492</v>
      </c>
      <c r="D218" t="s">
        <v>493</v>
      </c>
      <c r="E218" t="s">
        <v>6</v>
      </c>
      <c r="F218" t="s">
        <v>72</v>
      </c>
      <c r="G218" t="s">
        <v>73</v>
      </c>
      <c r="H218" t="s">
        <v>74</v>
      </c>
      <c r="I218" t="s">
        <v>75</v>
      </c>
      <c r="J218">
        <v>3</v>
      </c>
      <c r="K218">
        <v>420</v>
      </c>
      <c r="L218" t="s">
        <v>17</v>
      </c>
      <c r="M218" t="s">
        <v>105</v>
      </c>
      <c r="N218">
        <f t="shared" si="3"/>
        <v>1260</v>
      </c>
    </row>
    <row r="219" spans="1:14" x14ac:dyDescent="0.3">
      <c r="A219" t="s">
        <v>494</v>
      </c>
      <c r="B219" s="4">
        <v>46043</v>
      </c>
      <c r="C219" t="s">
        <v>152</v>
      </c>
      <c r="D219" t="s">
        <v>153</v>
      </c>
      <c r="E219" t="s">
        <v>15</v>
      </c>
      <c r="F219" t="s">
        <v>48</v>
      </c>
      <c r="G219" t="s">
        <v>163</v>
      </c>
      <c r="H219" t="s">
        <v>164</v>
      </c>
      <c r="I219" t="s">
        <v>111</v>
      </c>
      <c r="J219">
        <v>3</v>
      </c>
      <c r="K219">
        <v>240</v>
      </c>
      <c r="L219" t="s">
        <v>7</v>
      </c>
      <c r="M219" t="s">
        <v>52</v>
      </c>
      <c r="N219">
        <f t="shared" si="3"/>
        <v>720</v>
      </c>
    </row>
    <row r="220" spans="1:14" x14ac:dyDescent="0.3">
      <c r="A220" t="s">
        <v>495</v>
      </c>
      <c r="B220" s="4">
        <v>46241</v>
      </c>
      <c r="C220" t="s">
        <v>496</v>
      </c>
      <c r="D220" t="s">
        <v>5</v>
      </c>
      <c r="E220" t="s">
        <v>19</v>
      </c>
      <c r="F220" t="s">
        <v>48</v>
      </c>
      <c r="G220" t="s">
        <v>208</v>
      </c>
      <c r="H220" t="s">
        <v>22</v>
      </c>
      <c r="I220" t="s">
        <v>68</v>
      </c>
      <c r="J220">
        <v>3</v>
      </c>
      <c r="K220">
        <v>2200</v>
      </c>
      <c r="L220" t="s">
        <v>14</v>
      </c>
      <c r="M220" t="s">
        <v>52</v>
      </c>
      <c r="N220">
        <f t="shared" si="3"/>
        <v>6600</v>
      </c>
    </row>
    <row r="221" spans="1:14" x14ac:dyDescent="0.3">
      <c r="A221" t="s">
        <v>497</v>
      </c>
      <c r="B221" s="4">
        <v>46223</v>
      </c>
      <c r="C221" t="s">
        <v>385</v>
      </c>
      <c r="D221" t="s">
        <v>386</v>
      </c>
      <c r="E221" t="s">
        <v>15</v>
      </c>
      <c r="F221" t="s">
        <v>48</v>
      </c>
      <c r="G221" t="s">
        <v>56</v>
      </c>
      <c r="H221" t="s">
        <v>3</v>
      </c>
      <c r="I221" t="s">
        <v>57</v>
      </c>
      <c r="J221">
        <v>3</v>
      </c>
      <c r="K221">
        <v>8200</v>
      </c>
      <c r="L221" t="s">
        <v>4</v>
      </c>
      <c r="M221" t="s">
        <v>58</v>
      </c>
      <c r="N221">
        <f t="shared" si="3"/>
        <v>24600</v>
      </c>
    </row>
    <row r="222" spans="1:14" x14ac:dyDescent="0.3">
      <c r="A222" t="s">
        <v>498</v>
      </c>
      <c r="B222" s="4">
        <v>46197</v>
      </c>
      <c r="C222" t="s">
        <v>267</v>
      </c>
      <c r="D222" t="s">
        <v>268</v>
      </c>
      <c r="E222" t="s">
        <v>19</v>
      </c>
      <c r="F222" t="s">
        <v>72</v>
      </c>
      <c r="G222" t="s">
        <v>208</v>
      </c>
      <c r="H222" t="s">
        <v>22</v>
      </c>
      <c r="I222" t="s">
        <v>68</v>
      </c>
      <c r="J222">
        <v>2</v>
      </c>
      <c r="K222">
        <v>2200</v>
      </c>
      <c r="L222" t="s">
        <v>7</v>
      </c>
      <c r="M222" t="s">
        <v>105</v>
      </c>
      <c r="N222">
        <f t="shared" si="3"/>
        <v>4400</v>
      </c>
    </row>
    <row r="223" spans="1:14" x14ac:dyDescent="0.3">
      <c r="A223" t="s">
        <v>499</v>
      </c>
      <c r="B223" s="4">
        <v>46170</v>
      </c>
      <c r="C223" t="s">
        <v>270</v>
      </c>
      <c r="D223" t="s">
        <v>271</v>
      </c>
      <c r="E223" t="s">
        <v>18</v>
      </c>
      <c r="F223" t="s">
        <v>48</v>
      </c>
      <c r="G223" t="s">
        <v>183</v>
      </c>
      <c r="H223" t="s">
        <v>184</v>
      </c>
      <c r="I223" t="s">
        <v>111</v>
      </c>
      <c r="J223">
        <v>1</v>
      </c>
      <c r="K223">
        <v>180</v>
      </c>
      <c r="L223" t="s">
        <v>4</v>
      </c>
      <c r="M223" t="s">
        <v>80</v>
      </c>
      <c r="N223">
        <f t="shared" si="3"/>
        <v>180</v>
      </c>
    </row>
    <row r="224" spans="1:14" x14ac:dyDescent="0.3">
      <c r="A224" t="s">
        <v>500</v>
      </c>
      <c r="B224" s="4">
        <v>46087</v>
      </c>
      <c r="C224" t="s">
        <v>353</v>
      </c>
      <c r="D224" t="s">
        <v>354</v>
      </c>
      <c r="E224" t="s">
        <v>18</v>
      </c>
      <c r="F224" t="s">
        <v>90</v>
      </c>
      <c r="G224" t="s">
        <v>91</v>
      </c>
      <c r="H224" t="s">
        <v>13</v>
      </c>
      <c r="I224" t="s">
        <v>57</v>
      </c>
      <c r="J224">
        <v>8</v>
      </c>
      <c r="K224">
        <v>2945</v>
      </c>
      <c r="L224" t="s">
        <v>2</v>
      </c>
      <c r="M224" t="s">
        <v>52</v>
      </c>
      <c r="N224">
        <f t="shared" si="3"/>
        <v>23560</v>
      </c>
    </row>
    <row r="225" spans="1:14" x14ac:dyDescent="0.3">
      <c r="A225" t="s">
        <v>501</v>
      </c>
      <c r="B225" s="4">
        <v>46123</v>
      </c>
      <c r="C225" t="s">
        <v>215</v>
      </c>
      <c r="D225" t="s">
        <v>12</v>
      </c>
      <c r="E225" t="s">
        <v>10</v>
      </c>
      <c r="F225" t="s">
        <v>72</v>
      </c>
      <c r="G225" t="s">
        <v>84</v>
      </c>
      <c r="H225" t="s">
        <v>85</v>
      </c>
      <c r="I225" t="s">
        <v>51</v>
      </c>
      <c r="J225">
        <v>6</v>
      </c>
      <c r="K225">
        <v>722</v>
      </c>
      <c r="L225" t="s">
        <v>7</v>
      </c>
      <c r="M225" t="s">
        <v>80</v>
      </c>
      <c r="N225">
        <f t="shared" si="3"/>
        <v>4332</v>
      </c>
    </row>
    <row r="226" spans="1:14" x14ac:dyDescent="0.3">
      <c r="A226" t="s">
        <v>502</v>
      </c>
      <c r="B226" s="4">
        <v>46078</v>
      </c>
      <c r="C226" t="s">
        <v>158</v>
      </c>
      <c r="D226" t="s">
        <v>159</v>
      </c>
      <c r="E226" t="s">
        <v>18</v>
      </c>
      <c r="F226" t="s">
        <v>48</v>
      </c>
      <c r="G226" t="s">
        <v>73</v>
      </c>
      <c r="H226" t="s">
        <v>74</v>
      </c>
      <c r="I226" t="s">
        <v>75</v>
      </c>
      <c r="J226">
        <v>10</v>
      </c>
      <c r="K226">
        <v>420</v>
      </c>
      <c r="L226" t="s">
        <v>2</v>
      </c>
      <c r="M226" t="s">
        <v>105</v>
      </c>
      <c r="N226">
        <f t="shared" si="3"/>
        <v>4200</v>
      </c>
    </row>
    <row r="227" spans="1:14" x14ac:dyDescent="0.3">
      <c r="A227" t="s">
        <v>503</v>
      </c>
      <c r="B227" s="4">
        <v>46058</v>
      </c>
      <c r="C227" t="s">
        <v>189</v>
      </c>
      <c r="D227" t="s">
        <v>190</v>
      </c>
      <c r="E227" t="s">
        <v>6</v>
      </c>
      <c r="F227" t="s">
        <v>72</v>
      </c>
      <c r="G227" t="s">
        <v>67</v>
      </c>
      <c r="H227" t="s">
        <v>8</v>
      </c>
      <c r="I227" t="s">
        <v>68</v>
      </c>
      <c r="J227">
        <v>5</v>
      </c>
      <c r="K227">
        <v>1450</v>
      </c>
      <c r="L227" t="s">
        <v>9</v>
      </c>
      <c r="M227" t="s">
        <v>105</v>
      </c>
      <c r="N227">
        <f t="shared" si="3"/>
        <v>7250</v>
      </c>
    </row>
    <row r="228" spans="1:14" x14ac:dyDescent="0.3">
      <c r="A228" t="s">
        <v>504</v>
      </c>
      <c r="B228" s="4">
        <v>46194</v>
      </c>
      <c r="C228" t="s">
        <v>126</v>
      </c>
      <c r="D228" t="s">
        <v>127</v>
      </c>
      <c r="E228" t="s">
        <v>15</v>
      </c>
      <c r="F228" t="s">
        <v>72</v>
      </c>
      <c r="G228" t="s">
        <v>61</v>
      </c>
      <c r="H228" t="s">
        <v>62</v>
      </c>
      <c r="I228" t="s">
        <v>63</v>
      </c>
      <c r="J228">
        <v>2</v>
      </c>
      <c r="K228">
        <v>104.5</v>
      </c>
      <c r="L228" t="s">
        <v>17</v>
      </c>
      <c r="M228" t="s">
        <v>80</v>
      </c>
      <c r="N228">
        <f t="shared" si="3"/>
        <v>209</v>
      </c>
    </row>
    <row r="229" spans="1:14" x14ac:dyDescent="0.3">
      <c r="A229" t="s">
        <v>505</v>
      </c>
      <c r="B229" s="4">
        <v>46241</v>
      </c>
      <c r="C229" t="s">
        <v>146</v>
      </c>
      <c r="D229" t="s">
        <v>147</v>
      </c>
      <c r="E229" t="s">
        <v>15</v>
      </c>
      <c r="F229" t="s">
        <v>90</v>
      </c>
      <c r="G229" t="s">
        <v>239</v>
      </c>
      <c r="H229" t="s">
        <v>240</v>
      </c>
      <c r="I229" t="s">
        <v>63</v>
      </c>
      <c r="J229">
        <v>1</v>
      </c>
      <c r="K229">
        <v>720</v>
      </c>
      <c r="L229" t="s">
        <v>7</v>
      </c>
      <c r="M229" t="s">
        <v>52</v>
      </c>
      <c r="N229">
        <f t="shared" si="3"/>
        <v>720</v>
      </c>
    </row>
    <row r="230" spans="1:14" x14ac:dyDescent="0.3">
      <c r="A230" t="s">
        <v>506</v>
      </c>
      <c r="B230" s="4">
        <v>46226</v>
      </c>
      <c r="C230" t="s">
        <v>470</v>
      </c>
      <c r="D230" t="s">
        <v>471</v>
      </c>
      <c r="E230" t="s">
        <v>1</v>
      </c>
      <c r="F230" t="s">
        <v>90</v>
      </c>
      <c r="G230" t="s">
        <v>79</v>
      </c>
      <c r="H230" t="s">
        <v>11</v>
      </c>
      <c r="I230" t="s">
        <v>57</v>
      </c>
      <c r="J230">
        <v>1</v>
      </c>
      <c r="K230">
        <v>5200</v>
      </c>
      <c r="L230" t="s">
        <v>14</v>
      </c>
      <c r="M230" t="s">
        <v>80</v>
      </c>
      <c r="N230">
        <f t="shared" si="3"/>
        <v>5200</v>
      </c>
    </row>
    <row r="231" spans="1:14" x14ac:dyDescent="0.3">
      <c r="A231" t="s">
        <v>507</v>
      </c>
      <c r="B231" s="4">
        <v>46143</v>
      </c>
      <c r="C231" t="s">
        <v>293</v>
      </c>
      <c r="D231" t="s">
        <v>254</v>
      </c>
      <c r="E231" t="s">
        <v>19</v>
      </c>
      <c r="F231" t="s">
        <v>90</v>
      </c>
      <c r="G231" t="s">
        <v>201</v>
      </c>
      <c r="H231" t="s">
        <v>202</v>
      </c>
      <c r="I231" t="s">
        <v>63</v>
      </c>
      <c r="J231">
        <v>4</v>
      </c>
      <c r="K231">
        <v>504</v>
      </c>
      <c r="L231" t="s">
        <v>9</v>
      </c>
      <c r="M231" t="s">
        <v>58</v>
      </c>
      <c r="N231">
        <f t="shared" si="3"/>
        <v>2016</v>
      </c>
    </row>
    <row r="232" spans="1:14" x14ac:dyDescent="0.3">
      <c r="A232" t="s">
        <v>508</v>
      </c>
      <c r="B232" s="4">
        <v>46125</v>
      </c>
      <c r="C232" t="s">
        <v>385</v>
      </c>
      <c r="D232" t="s">
        <v>386</v>
      </c>
      <c r="E232" t="s">
        <v>15</v>
      </c>
      <c r="F232" t="s">
        <v>48</v>
      </c>
      <c r="G232" t="s">
        <v>239</v>
      </c>
      <c r="H232" t="s">
        <v>240</v>
      </c>
      <c r="I232" t="s">
        <v>63</v>
      </c>
      <c r="J232">
        <v>10</v>
      </c>
      <c r="K232">
        <v>720</v>
      </c>
      <c r="L232" t="s">
        <v>17</v>
      </c>
      <c r="M232" t="s">
        <v>105</v>
      </c>
      <c r="N232">
        <f t="shared" si="3"/>
        <v>7200</v>
      </c>
    </row>
    <row r="233" spans="1:14" x14ac:dyDescent="0.3">
      <c r="A233" t="s">
        <v>509</v>
      </c>
      <c r="B233" s="4">
        <v>46234</v>
      </c>
      <c r="C233" t="s">
        <v>510</v>
      </c>
      <c r="D233" t="s">
        <v>12</v>
      </c>
      <c r="E233" t="s">
        <v>10</v>
      </c>
      <c r="F233" t="s">
        <v>90</v>
      </c>
      <c r="G233" t="s">
        <v>95</v>
      </c>
      <c r="H233" t="s">
        <v>96</v>
      </c>
      <c r="I233" t="s">
        <v>75</v>
      </c>
      <c r="J233">
        <v>2</v>
      </c>
      <c r="K233">
        <v>650</v>
      </c>
      <c r="L233" t="s">
        <v>7</v>
      </c>
      <c r="M233" t="s">
        <v>58</v>
      </c>
      <c r="N233">
        <f t="shared" si="3"/>
        <v>1300</v>
      </c>
    </row>
    <row r="234" spans="1:14" x14ac:dyDescent="0.3">
      <c r="A234" t="s">
        <v>511</v>
      </c>
      <c r="B234" s="4">
        <v>46198</v>
      </c>
      <c r="C234" t="s">
        <v>380</v>
      </c>
      <c r="D234" t="s">
        <v>381</v>
      </c>
      <c r="E234" t="s">
        <v>18</v>
      </c>
      <c r="F234" t="s">
        <v>72</v>
      </c>
      <c r="G234" t="s">
        <v>73</v>
      </c>
      <c r="H234" t="s">
        <v>74</v>
      </c>
      <c r="I234" t="s">
        <v>75</v>
      </c>
      <c r="J234">
        <v>2</v>
      </c>
      <c r="K234">
        <v>420</v>
      </c>
      <c r="L234" t="s">
        <v>17</v>
      </c>
      <c r="M234" t="s">
        <v>52</v>
      </c>
      <c r="N234">
        <f t="shared" si="3"/>
        <v>840</v>
      </c>
    </row>
    <row r="235" spans="1:14" x14ac:dyDescent="0.3">
      <c r="A235" t="s">
        <v>512</v>
      </c>
      <c r="B235" s="4">
        <v>46134</v>
      </c>
      <c r="C235" t="s">
        <v>510</v>
      </c>
      <c r="D235" t="s">
        <v>12</v>
      </c>
      <c r="E235" t="s">
        <v>10</v>
      </c>
      <c r="F235" t="s">
        <v>90</v>
      </c>
      <c r="G235" t="s">
        <v>208</v>
      </c>
      <c r="H235" t="s">
        <v>22</v>
      </c>
      <c r="I235" t="s">
        <v>68</v>
      </c>
      <c r="J235">
        <v>2</v>
      </c>
      <c r="K235">
        <v>2090</v>
      </c>
      <c r="L235" t="s">
        <v>14</v>
      </c>
      <c r="M235" t="s">
        <v>52</v>
      </c>
      <c r="N235">
        <f t="shared" si="3"/>
        <v>4180</v>
      </c>
    </row>
    <row r="236" spans="1:14" x14ac:dyDescent="0.3">
      <c r="A236" t="s">
        <v>513</v>
      </c>
      <c r="B236" s="4">
        <v>46065</v>
      </c>
      <c r="C236" t="s">
        <v>514</v>
      </c>
      <c r="D236" t="s">
        <v>515</v>
      </c>
      <c r="E236" t="s">
        <v>18</v>
      </c>
      <c r="F236" t="s">
        <v>72</v>
      </c>
      <c r="G236" t="s">
        <v>123</v>
      </c>
      <c r="H236" t="s">
        <v>124</v>
      </c>
      <c r="I236" t="s">
        <v>111</v>
      </c>
      <c r="J236">
        <v>1</v>
      </c>
      <c r="K236">
        <v>160</v>
      </c>
      <c r="L236" t="s">
        <v>7</v>
      </c>
      <c r="M236" t="s">
        <v>80</v>
      </c>
      <c r="N236">
        <f t="shared" si="3"/>
        <v>160</v>
      </c>
    </row>
    <row r="237" spans="1:14" x14ac:dyDescent="0.3">
      <c r="A237" t="s">
        <v>516</v>
      </c>
      <c r="B237" s="4">
        <v>46088</v>
      </c>
      <c r="C237" t="s">
        <v>198</v>
      </c>
      <c r="D237" t="s">
        <v>199</v>
      </c>
      <c r="E237" t="s">
        <v>6</v>
      </c>
      <c r="F237" t="s">
        <v>72</v>
      </c>
      <c r="G237" t="s">
        <v>183</v>
      </c>
      <c r="H237" t="s">
        <v>184</v>
      </c>
      <c r="I237" t="s">
        <v>111</v>
      </c>
      <c r="J237">
        <v>1</v>
      </c>
      <c r="K237">
        <v>189</v>
      </c>
      <c r="L237" t="s">
        <v>7</v>
      </c>
      <c r="M237" t="s">
        <v>52</v>
      </c>
      <c r="N237">
        <f t="shared" si="3"/>
        <v>189</v>
      </c>
    </row>
    <row r="238" spans="1:14" x14ac:dyDescent="0.3">
      <c r="A238" t="s">
        <v>517</v>
      </c>
      <c r="B238" s="4">
        <v>46181</v>
      </c>
      <c r="C238" t="s">
        <v>310</v>
      </c>
      <c r="D238" t="s">
        <v>311</v>
      </c>
      <c r="E238" t="s">
        <v>19</v>
      </c>
      <c r="F238" t="s">
        <v>72</v>
      </c>
      <c r="G238" t="s">
        <v>239</v>
      </c>
      <c r="H238" t="s">
        <v>240</v>
      </c>
      <c r="I238" t="s">
        <v>63</v>
      </c>
      <c r="J238">
        <v>2</v>
      </c>
      <c r="K238">
        <v>756</v>
      </c>
      <c r="L238" t="s">
        <v>2</v>
      </c>
      <c r="M238" t="s">
        <v>52</v>
      </c>
      <c r="N238">
        <f t="shared" si="3"/>
        <v>1512</v>
      </c>
    </row>
    <row r="239" spans="1:14" x14ac:dyDescent="0.3">
      <c r="A239" t="s">
        <v>518</v>
      </c>
      <c r="B239" s="4">
        <v>46067</v>
      </c>
      <c r="C239" t="s">
        <v>369</v>
      </c>
      <c r="D239" t="s">
        <v>370</v>
      </c>
      <c r="E239" t="s">
        <v>15</v>
      </c>
      <c r="F239" t="s">
        <v>90</v>
      </c>
      <c r="G239" t="s">
        <v>208</v>
      </c>
      <c r="H239" t="s">
        <v>22</v>
      </c>
      <c r="I239" t="s">
        <v>68</v>
      </c>
      <c r="J239">
        <v>3</v>
      </c>
      <c r="K239">
        <v>2310</v>
      </c>
      <c r="L239" t="s">
        <v>7</v>
      </c>
      <c r="M239" t="s">
        <v>58</v>
      </c>
      <c r="N239">
        <f t="shared" si="3"/>
        <v>6930</v>
      </c>
    </row>
    <row r="240" spans="1:14" x14ac:dyDescent="0.3">
      <c r="A240" t="s">
        <v>519</v>
      </c>
      <c r="B240" s="4">
        <v>46044</v>
      </c>
      <c r="C240" t="s">
        <v>204</v>
      </c>
      <c r="D240" t="s">
        <v>71</v>
      </c>
      <c r="E240" t="s">
        <v>15</v>
      </c>
      <c r="F240" t="s">
        <v>90</v>
      </c>
      <c r="G240" t="s">
        <v>136</v>
      </c>
      <c r="H240" t="s">
        <v>137</v>
      </c>
      <c r="I240" t="s">
        <v>111</v>
      </c>
      <c r="J240">
        <v>1</v>
      </c>
      <c r="K240">
        <v>89.25</v>
      </c>
      <c r="L240" t="s">
        <v>7</v>
      </c>
      <c r="M240" t="s">
        <v>52</v>
      </c>
      <c r="N240">
        <f t="shared" si="3"/>
        <v>89.25</v>
      </c>
    </row>
    <row r="241" spans="1:14" x14ac:dyDescent="0.3">
      <c r="A241" t="s">
        <v>520</v>
      </c>
      <c r="B241" s="4">
        <v>46182</v>
      </c>
      <c r="C241" t="s">
        <v>510</v>
      </c>
      <c r="D241" t="s">
        <v>12</v>
      </c>
      <c r="E241" t="s">
        <v>10</v>
      </c>
      <c r="F241" t="s">
        <v>90</v>
      </c>
      <c r="G241" t="s">
        <v>95</v>
      </c>
      <c r="H241" t="s">
        <v>96</v>
      </c>
      <c r="I241" t="s">
        <v>75</v>
      </c>
      <c r="J241">
        <v>3</v>
      </c>
      <c r="K241">
        <v>650</v>
      </c>
      <c r="L241" t="s">
        <v>2</v>
      </c>
      <c r="M241" t="s">
        <v>80</v>
      </c>
      <c r="N241">
        <f t="shared" si="3"/>
        <v>1950</v>
      </c>
    </row>
    <row r="242" spans="1:14" x14ac:dyDescent="0.3">
      <c r="A242" t="s">
        <v>521</v>
      </c>
      <c r="B242" s="4">
        <v>46147</v>
      </c>
      <c r="C242" t="s">
        <v>82</v>
      </c>
      <c r="D242" t="s">
        <v>83</v>
      </c>
      <c r="E242" t="s">
        <v>10</v>
      </c>
      <c r="F242" t="s">
        <v>72</v>
      </c>
      <c r="G242" t="s">
        <v>239</v>
      </c>
      <c r="H242" t="s">
        <v>240</v>
      </c>
      <c r="I242" t="s">
        <v>63</v>
      </c>
      <c r="J242">
        <v>1</v>
      </c>
      <c r="K242">
        <v>720</v>
      </c>
      <c r="L242" t="s">
        <v>7</v>
      </c>
      <c r="M242" t="s">
        <v>105</v>
      </c>
      <c r="N242">
        <f t="shared" si="3"/>
        <v>720</v>
      </c>
    </row>
    <row r="243" spans="1:14" x14ac:dyDescent="0.3">
      <c r="A243" t="s">
        <v>522</v>
      </c>
      <c r="B243" s="4">
        <v>46064</v>
      </c>
      <c r="C243" t="s">
        <v>260</v>
      </c>
      <c r="D243" t="s">
        <v>261</v>
      </c>
      <c r="E243" t="s">
        <v>1</v>
      </c>
      <c r="F243" t="s">
        <v>48</v>
      </c>
      <c r="G243" t="s">
        <v>163</v>
      </c>
      <c r="H243" t="s">
        <v>164</v>
      </c>
      <c r="I243" t="s">
        <v>111</v>
      </c>
      <c r="J243">
        <v>2</v>
      </c>
      <c r="K243">
        <v>240</v>
      </c>
      <c r="L243" t="s">
        <v>4</v>
      </c>
      <c r="M243" t="s">
        <v>52</v>
      </c>
      <c r="N243">
        <f t="shared" si="3"/>
        <v>480</v>
      </c>
    </row>
    <row r="244" spans="1:14" x14ac:dyDescent="0.3">
      <c r="A244" t="s">
        <v>523</v>
      </c>
      <c r="B244" s="4">
        <v>46104</v>
      </c>
      <c r="C244" t="s">
        <v>524</v>
      </c>
      <c r="D244" t="s">
        <v>525</v>
      </c>
      <c r="E244" t="s">
        <v>10</v>
      </c>
      <c r="F244" t="s">
        <v>90</v>
      </c>
      <c r="G244" t="s">
        <v>208</v>
      </c>
      <c r="H244" t="s">
        <v>22</v>
      </c>
      <c r="I244" t="s">
        <v>68</v>
      </c>
      <c r="J244">
        <v>5</v>
      </c>
      <c r="K244">
        <v>2200</v>
      </c>
      <c r="L244" t="s">
        <v>2</v>
      </c>
      <c r="M244" t="s">
        <v>80</v>
      </c>
      <c r="N244">
        <f t="shared" si="3"/>
        <v>11000</v>
      </c>
    </row>
    <row r="245" spans="1:14" x14ac:dyDescent="0.3">
      <c r="A245" t="s">
        <v>526</v>
      </c>
      <c r="B245" s="4">
        <v>46218</v>
      </c>
      <c r="C245" t="s">
        <v>117</v>
      </c>
      <c r="D245" t="s">
        <v>118</v>
      </c>
      <c r="E245" t="s">
        <v>19</v>
      </c>
      <c r="F245" t="s">
        <v>48</v>
      </c>
      <c r="G245" t="s">
        <v>208</v>
      </c>
      <c r="H245" t="s">
        <v>22</v>
      </c>
      <c r="I245" t="s">
        <v>68</v>
      </c>
      <c r="J245">
        <v>2</v>
      </c>
      <c r="K245">
        <v>2310</v>
      </c>
      <c r="L245" t="s">
        <v>14</v>
      </c>
      <c r="M245" t="s">
        <v>80</v>
      </c>
      <c r="N245">
        <f t="shared" si="3"/>
        <v>4620</v>
      </c>
    </row>
    <row r="246" spans="1:14" x14ac:dyDescent="0.3">
      <c r="A246" t="s">
        <v>527</v>
      </c>
      <c r="B246" s="4">
        <v>46055</v>
      </c>
      <c r="C246" t="s">
        <v>427</v>
      </c>
      <c r="D246" t="s">
        <v>428</v>
      </c>
      <c r="E246" t="s">
        <v>1</v>
      </c>
      <c r="F246" t="s">
        <v>48</v>
      </c>
      <c r="G246" t="s">
        <v>73</v>
      </c>
      <c r="H246" t="s">
        <v>74</v>
      </c>
      <c r="I246" t="s">
        <v>75</v>
      </c>
      <c r="J246">
        <v>1</v>
      </c>
      <c r="K246">
        <v>420</v>
      </c>
      <c r="L246" t="s">
        <v>9</v>
      </c>
      <c r="M246" t="s">
        <v>58</v>
      </c>
      <c r="N246">
        <f t="shared" si="3"/>
        <v>420</v>
      </c>
    </row>
    <row r="247" spans="1:14" x14ac:dyDescent="0.3">
      <c r="A247" t="s">
        <v>528</v>
      </c>
      <c r="B247" s="4">
        <v>46122</v>
      </c>
      <c r="C247" t="s">
        <v>463</v>
      </c>
      <c r="D247" t="s">
        <v>264</v>
      </c>
      <c r="E247" t="s">
        <v>6</v>
      </c>
      <c r="F247" t="s">
        <v>90</v>
      </c>
      <c r="G247" t="s">
        <v>239</v>
      </c>
      <c r="H247" t="s">
        <v>240</v>
      </c>
      <c r="I247" t="s">
        <v>63</v>
      </c>
      <c r="J247">
        <v>5</v>
      </c>
      <c r="K247">
        <v>720</v>
      </c>
      <c r="L247" t="s">
        <v>9</v>
      </c>
      <c r="M247" t="s">
        <v>52</v>
      </c>
      <c r="N247">
        <f t="shared" si="3"/>
        <v>3600</v>
      </c>
    </row>
    <row r="248" spans="1:14" x14ac:dyDescent="0.3">
      <c r="A248" t="s">
        <v>529</v>
      </c>
      <c r="B248" s="4">
        <v>46171</v>
      </c>
      <c r="C248" t="s">
        <v>70</v>
      </c>
      <c r="D248" t="s">
        <v>71</v>
      </c>
      <c r="E248" t="s">
        <v>10</v>
      </c>
      <c r="F248" t="s">
        <v>72</v>
      </c>
      <c r="G248" t="s">
        <v>61</v>
      </c>
      <c r="H248" t="s">
        <v>62</v>
      </c>
      <c r="I248" t="s">
        <v>63</v>
      </c>
      <c r="J248">
        <v>3</v>
      </c>
      <c r="K248">
        <v>110</v>
      </c>
      <c r="L248" t="s">
        <v>9</v>
      </c>
      <c r="M248" t="s">
        <v>105</v>
      </c>
      <c r="N248">
        <f t="shared" si="3"/>
        <v>330</v>
      </c>
    </row>
    <row r="249" spans="1:14" x14ac:dyDescent="0.3">
      <c r="A249" t="s">
        <v>530</v>
      </c>
      <c r="B249" s="4">
        <v>46151</v>
      </c>
      <c r="C249" t="s">
        <v>291</v>
      </c>
      <c r="D249" t="s">
        <v>219</v>
      </c>
      <c r="E249" t="s">
        <v>19</v>
      </c>
      <c r="F249" t="s">
        <v>48</v>
      </c>
      <c r="G249" t="s">
        <v>73</v>
      </c>
      <c r="H249" t="s">
        <v>74</v>
      </c>
      <c r="I249" t="s">
        <v>75</v>
      </c>
      <c r="J249">
        <v>5</v>
      </c>
      <c r="K249">
        <v>420</v>
      </c>
      <c r="L249" t="s">
        <v>14</v>
      </c>
      <c r="M249" t="s">
        <v>58</v>
      </c>
      <c r="N249">
        <f t="shared" si="3"/>
        <v>2100</v>
      </c>
    </row>
    <row r="250" spans="1:14" x14ac:dyDescent="0.3">
      <c r="A250" t="s">
        <v>531</v>
      </c>
      <c r="B250" s="4">
        <v>46141</v>
      </c>
      <c r="C250" t="s">
        <v>196</v>
      </c>
      <c r="D250" t="s">
        <v>21</v>
      </c>
      <c r="E250" t="s">
        <v>18</v>
      </c>
      <c r="F250" t="s">
        <v>48</v>
      </c>
      <c r="G250" t="s">
        <v>84</v>
      </c>
      <c r="H250" t="s">
        <v>85</v>
      </c>
      <c r="I250" t="s">
        <v>51</v>
      </c>
      <c r="J250">
        <v>8</v>
      </c>
      <c r="K250">
        <v>760</v>
      </c>
      <c r="L250" t="s">
        <v>17</v>
      </c>
      <c r="M250" t="s">
        <v>80</v>
      </c>
      <c r="N250">
        <f t="shared" si="3"/>
        <v>6080</v>
      </c>
    </row>
    <row r="251" spans="1:14" x14ac:dyDescent="0.3">
      <c r="A251" t="s">
        <v>532</v>
      </c>
      <c r="B251" s="4">
        <v>46096</v>
      </c>
      <c r="C251" t="s">
        <v>463</v>
      </c>
      <c r="D251" t="s">
        <v>264</v>
      </c>
      <c r="E251" t="s">
        <v>6</v>
      </c>
      <c r="F251" t="s">
        <v>90</v>
      </c>
      <c r="G251" t="s">
        <v>163</v>
      </c>
      <c r="H251" t="s">
        <v>164</v>
      </c>
      <c r="I251" t="s">
        <v>111</v>
      </c>
      <c r="J251">
        <v>2</v>
      </c>
      <c r="K251">
        <v>240</v>
      </c>
      <c r="L251" t="s">
        <v>7</v>
      </c>
      <c r="M251" t="s">
        <v>58</v>
      </c>
      <c r="N251">
        <f t="shared" si="3"/>
        <v>480</v>
      </c>
    </row>
    <row r="252" spans="1:14" x14ac:dyDescent="0.3">
      <c r="A252" t="s">
        <v>533</v>
      </c>
      <c r="B252" s="4">
        <v>46134</v>
      </c>
      <c r="C252" t="s">
        <v>198</v>
      </c>
      <c r="D252" t="s">
        <v>199</v>
      </c>
      <c r="E252" t="s">
        <v>6</v>
      </c>
      <c r="F252" t="s">
        <v>72</v>
      </c>
      <c r="G252" t="s">
        <v>67</v>
      </c>
      <c r="H252" t="s">
        <v>8</v>
      </c>
      <c r="I252" t="s">
        <v>68</v>
      </c>
      <c r="J252">
        <v>1</v>
      </c>
      <c r="K252">
        <v>1450</v>
      </c>
      <c r="L252" t="s">
        <v>2</v>
      </c>
      <c r="M252" t="s">
        <v>80</v>
      </c>
      <c r="N252">
        <f t="shared" si="3"/>
        <v>1450</v>
      </c>
    </row>
    <row r="253" spans="1:14" x14ac:dyDescent="0.3">
      <c r="A253" t="s">
        <v>534</v>
      </c>
      <c r="B253" s="4">
        <v>46117</v>
      </c>
      <c r="C253" t="s">
        <v>270</v>
      </c>
      <c r="D253" t="s">
        <v>271</v>
      </c>
      <c r="E253" t="s">
        <v>18</v>
      </c>
      <c r="F253" t="s">
        <v>48</v>
      </c>
      <c r="G253" t="s">
        <v>109</v>
      </c>
      <c r="H253" t="s">
        <v>110</v>
      </c>
      <c r="I253" t="s">
        <v>111</v>
      </c>
      <c r="J253">
        <v>1</v>
      </c>
      <c r="K253">
        <v>304</v>
      </c>
      <c r="L253" t="s">
        <v>17</v>
      </c>
      <c r="M253" t="s">
        <v>52</v>
      </c>
      <c r="N253">
        <f t="shared" si="3"/>
        <v>304</v>
      </c>
    </row>
    <row r="254" spans="1:14" x14ac:dyDescent="0.3">
      <c r="A254" t="s">
        <v>535</v>
      </c>
      <c r="B254" s="4">
        <v>46097</v>
      </c>
      <c r="C254" t="s">
        <v>102</v>
      </c>
      <c r="D254" t="s">
        <v>103</v>
      </c>
      <c r="E254" t="s">
        <v>10</v>
      </c>
      <c r="F254" t="s">
        <v>90</v>
      </c>
      <c r="G254" t="s">
        <v>49</v>
      </c>
      <c r="H254" t="s">
        <v>50</v>
      </c>
      <c r="I254" t="s">
        <v>51</v>
      </c>
      <c r="J254">
        <v>1</v>
      </c>
      <c r="K254">
        <v>99.75</v>
      </c>
      <c r="L254" t="s">
        <v>4</v>
      </c>
      <c r="M254" t="s">
        <v>80</v>
      </c>
      <c r="N254">
        <f t="shared" si="3"/>
        <v>99.75</v>
      </c>
    </row>
    <row r="255" spans="1:14" x14ac:dyDescent="0.3">
      <c r="A255" t="s">
        <v>536</v>
      </c>
      <c r="B255" s="4">
        <v>46056</v>
      </c>
      <c r="C255" t="s">
        <v>204</v>
      </c>
      <c r="D255" t="s">
        <v>71</v>
      </c>
      <c r="E255" t="s">
        <v>15</v>
      </c>
      <c r="F255" t="s">
        <v>90</v>
      </c>
      <c r="G255" t="s">
        <v>67</v>
      </c>
      <c r="H255" t="s">
        <v>8</v>
      </c>
      <c r="I255" t="s">
        <v>68</v>
      </c>
      <c r="J255">
        <v>8</v>
      </c>
      <c r="K255">
        <v>1450</v>
      </c>
      <c r="L255" t="s">
        <v>7</v>
      </c>
      <c r="M255" t="s">
        <v>80</v>
      </c>
      <c r="N255">
        <f t="shared" si="3"/>
        <v>11600</v>
      </c>
    </row>
    <row r="256" spans="1:14" x14ac:dyDescent="0.3">
      <c r="A256" t="s">
        <v>537</v>
      </c>
      <c r="B256" s="4">
        <v>46217</v>
      </c>
      <c r="C256" t="s">
        <v>538</v>
      </c>
      <c r="D256" t="s">
        <v>539</v>
      </c>
      <c r="E256" t="s">
        <v>15</v>
      </c>
      <c r="F256" t="s">
        <v>48</v>
      </c>
      <c r="G256" t="s">
        <v>201</v>
      </c>
      <c r="H256" t="s">
        <v>202</v>
      </c>
      <c r="I256" t="s">
        <v>63</v>
      </c>
      <c r="J256">
        <v>1</v>
      </c>
      <c r="K256">
        <v>504</v>
      </c>
      <c r="L256" t="s">
        <v>17</v>
      </c>
      <c r="M256" t="s">
        <v>105</v>
      </c>
      <c r="N256">
        <f t="shared" si="3"/>
        <v>504</v>
      </c>
    </row>
    <row r="257" spans="1:14" x14ac:dyDescent="0.3">
      <c r="A257" t="s">
        <v>540</v>
      </c>
      <c r="B257" s="4">
        <v>46035</v>
      </c>
      <c r="C257" t="s">
        <v>541</v>
      </c>
      <c r="D257" t="s">
        <v>211</v>
      </c>
      <c r="E257" t="s">
        <v>18</v>
      </c>
      <c r="F257" t="s">
        <v>48</v>
      </c>
      <c r="G257" t="s">
        <v>163</v>
      </c>
      <c r="H257" t="s">
        <v>164</v>
      </c>
      <c r="I257" t="s">
        <v>111</v>
      </c>
      <c r="J257">
        <v>1</v>
      </c>
      <c r="K257">
        <v>240</v>
      </c>
      <c r="L257" t="s">
        <v>4</v>
      </c>
      <c r="M257" t="s">
        <v>105</v>
      </c>
      <c r="N257">
        <f t="shared" si="3"/>
        <v>240</v>
      </c>
    </row>
    <row r="258" spans="1:14" x14ac:dyDescent="0.3">
      <c r="A258" t="s">
        <v>542</v>
      </c>
      <c r="B258" s="4">
        <v>46059</v>
      </c>
      <c r="C258" t="s">
        <v>451</v>
      </c>
      <c r="D258" t="s">
        <v>452</v>
      </c>
      <c r="E258" t="s">
        <v>6</v>
      </c>
      <c r="F258" t="s">
        <v>72</v>
      </c>
      <c r="G258" t="s">
        <v>84</v>
      </c>
      <c r="H258" t="s">
        <v>85</v>
      </c>
      <c r="I258" t="s">
        <v>51</v>
      </c>
      <c r="J258">
        <v>1</v>
      </c>
      <c r="K258">
        <v>798</v>
      </c>
      <c r="L258" t="s">
        <v>7</v>
      </c>
      <c r="M258" t="s">
        <v>52</v>
      </c>
      <c r="N258">
        <f t="shared" si="3"/>
        <v>798</v>
      </c>
    </row>
    <row r="259" spans="1:14" x14ac:dyDescent="0.3">
      <c r="A259" t="s">
        <v>543</v>
      </c>
      <c r="B259" s="4">
        <v>46175</v>
      </c>
      <c r="C259" t="s">
        <v>196</v>
      </c>
      <c r="D259" t="s">
        <v>21</v>
      </c>
      <c r="E259" t="s">
        <v>18</v>
      </c>
      <c r="F259" t="s">
        <v>48</v>
      </c>
      <c r="G259" t="s">
        <v>239</v>
      </c>
      <c r="H259" t="s">
        <v>240</v>
      </c>
      <c r="I259" t="s">
        <v>63</v>
      </c>
      <c r="J259">
        <v>1</v>
      </c>
      <c r="K259">
        <v>756</v>
      </c>
      <c r="L259" t="s">
        <v>17</v>
      </c>
      <c r="M259" t="s">
        <v>105</v>
      </c>
      <c r="N259">
        <f t="shared" ref="N259:N322" si="4">J259*K259</f>
        <v>756</v>
      </c>
    </row>
    <row r="260" spans="1:14" x14ac:dyDescent="0.3">
      <c r="A260" t="s">
        <v>544</v>
      </c>
      <c r="B260" s="4">
        <v>46145</v>
      </c>
      <c r="C260" t="s">
        <v>158</v>
      </c>
      <c r="D260" t="s">
        <v>159</v>
      </c>
      <c r="E260" t="s">
        <v>18</v>
      </c>
      <c r="F260" t="s">
        <v>48</v>
      </c>
      <c r="G260" t="s">
        <v>239</v>
      </c>
      <c r="H260" t="s">
        <v>240</v>
      </c>
      <c r="I260" t="s">
        <v>63</v>
      </c>
      <c r="J260">
        <v>4</v>
      </c>
      <c r="K260">
        <v>720</v>
      </c>
      <c r="L260" t="s">
        <v>7</v>
      </c>
      <c r="M260" t="s">
        <v>58</v>
      </c>
      <c r="N260">
        <f t="shared" si="4"/>
        <v>2880</v>
      </c>
    </row>
    <row r="261" spans="1:14" x14ac:dyDescent="0.3">
      <c r="A261" t="s">
        <v>545</v>
      </c>
      <c r="B261" s="4">
        <v>46227</v>
      </c>
      <c r="C261" t="s">
        <v>161</v>
      </c>
      <c r="D261" t="s">
        <v>162</v>
      </c>
      <c r="E261" t="s">
        <v>10</v>
      </c>
      <c r="F261" t="s">
        <v>72</v>
      </c>
      <c r="G261" t="s">
        <v>239</v>
      </c>
      <c r="H261" t="s">
        <v>240</v>
      </c>
      <c r="I261" t="s">
        <v>63</v>
      </c>
      <c r="J261">
        <v>5</v>
      </c>
      <c r="K261">
        <v>684</v>
      </c>
      <c r="L261" t="s">
        <v>17</v>
      </c>
      <c r="M261" t="s">
        <v>105</v>
      </c>
      <c r="N261">
        <f t="shared" si="4"/>
        <v>3420</v>
      </c>
    </row>
    <row r="262" spans="1:14" x14ac:dyDescent="0.3">
      <c r="A262" t="s">
        <v>546</v>
      </c>
      <c r="B262" s="4">
        <v>46208</v>
      </c>
      <c r="C262" t="s">
        <v>250</v>
      </c>
      <c r="D262" t="s">
        <v>251</v>
      </c>
      <c r="E262" t="s">
        <v>1</v>
      </c>
      <c r="F262" t="s">
        <v>48</v>
      </c>
      <c r="G262" t="s">
        <v>56</v>
      </c>
      <c r="H262" t="s">
        <v>3</v>
      </c>
      <c r="I262" t="s">
        <v>57</v>
      </c>
      <c r="J262">
        <v>1</v>
      </c>
      <c r="K262">
        <v>8200</v>
      </c>
      <c r="L262" t="s">
        <v>9</v>
      </c>
      <c r="M262" t="s">
        <v>105</v>
      </c>
      <c r="N262">
        <f t="shared" si="4"/>
        <v>8200</v>
      </c>
    </row>
    <row r="263" spans="1:14" x14ac:dyDescent="0.3">
      <c r="A263" t="s">
        <v>547</v>
      </c>
      <c r="B263" s="4">
        <v>46032</v>
      </c>
      <c r="C263" t="s">
        <v>134</v>
      </c>
      <c r="D263" t="s">
        <v>135</v>
      </c>
      <c r="E263" t="s">
        <v>15</v>
      </c>
      <c r="F263" t="s">
        <v>72</v>
      </c>
      <c r="G263" t="s">
        <v>56</v>
      </c>
      <c r="H263" t="s">
        <v>3</v>
      </c>
      <c r="I263" t="s">
        <v>57</v>
      </c>
      <c r="J263">
        <v>2</v>
      </c>
      <c r="K263">
        <v>7790</v>
      </c>
      <c r="L263" t="s">
        <v>9</v>
      </c>
      <c r="M263" t="s">
        <v>58</v>
      </c>
      <c r="N263">
        <f t="shared" si="4"/>
        <v>15580</v>
      </c>
    </row>
    <row r="264" spans="1:14" x14ac:dyDescent="0.3">
      <c r="A264" t="s">
        <v>548</v>
      </c>
      <c r="B264" s="4">
        <v>46131</v>
      </c>
      <c r="C264" t="s">
        <v>263</v>
      </c>
      <c r="D264" t="s">
        <v>264</v>
      </c>
      <c r="E264" t="s">
        <v>1</v>
      </c>
      <c r="F264" t="s">
        <v>72</v>
      </c>
      <c r="G264" t="s">
        <v>61</v>
      </c>
      <c r="H264" t="s">
        <v>62</v>
      </c>
      <c r="I264" t="s">
        <v>63</v>
      </c>
      <c r="J264">
        <v>1</v>
      </c>
      <c r="K264">
        <v>110</v>
      </c>
      <c r="L264" t="s">
        <v>4</v>
      </c>
      <c r="M264" t="s">
        <v>105</v>
      </c>
      <c r="N264">
        <f t="shared" si="4"/>
        <v>110</v>
      </c>
    </row>
    <row r="265" spans="1:14" x14ac:dyDescent="0.3">
      <c r="A265" t="s">
        <v>549</v>
      </c>
      <c r="B265" s="4">
        <v>46204</v>
      </c>
      <c r="C265" t="s">
        <v>303</v>
      </c>
      <c r="D265" t="s">
        <v>115</v>
      </c>
      <c r="E265" t="s">
        <v>1</v>
      </c>
      <c r="F265" t="s">
        <v>48</v>
      </c>
      <c r="G265" t="s">
        <v>163</v>
      </c>
      <c r="H265" t="s">
        <v>164</v>
      </c>
      <c r="I265" t="s">
        <v>111</v>
      </c>
      <c r="J265">
        <v>1</v>
      </c>
      <c r="K265">
        <v>240</v>
      </c>
      <c r="L265" t="s">
        <v>17</v>
      </c>
      <c r="M265" t="s">
        <v>80</v>
      </c>
      <c r="N265">
        <f t="shared" si="4"/>
        <v>240</v>
      </c>
    </row>
    <row r="266" spans="1:14" x14ac:dyDescent="0.3">
      <c r="A266" t="s">
        <v>550</v>
      </c>
      <c r="B266" s="4">
        <v>46158</v>
      </c>
      <c r="C266" t="s">
        <v>77</v>
      </c>
      <c r="D266" t="s">
        <v>78</v>
      </c>
      <c r="E266" t="s">
        <v>6</v>
      </c>
      <c r="F266" t="s">
        <v>72</v>
      </c>
      <c r="G266" t="s">
        <v>205</v>
      </c>
      <c r="H266" t="s">
        <v>206</v>
      </c>
      <c r="I266" t="s">
        <v>51</v>
      </c>
      <c r="J266">
        <v>2</v>
      </c>
      <c r="K266">
        <v>590</v>
      </c>
      <c r="L266" t="s">
        <v>4</v>
      </c>
      <c r="M266" t="s">
        <v>80</v>
      </c>
      <c r="N266">
        <f t="shared" si="4"/>
        <v>1180</v>
      </c>
    </row>
    <row r="267" spans="1:14" x14ac:dyDescent="0.3">
      <c r="A267" t="s">
        <v>551</v>
      </c>
      <c r="B267" s="4">
        <v>46197</v>
      </c>
      <c r="C267" t="s">
        <v>364</v>
      </c>
      <c r="D267" t="s">
        <v>365</v>
      </c>
      <c r="E267" t="s">
        <v>6</v>
      </c>
      <c r="F267" t="s">
        <v>90</v>
      </c>
      <c r="G267" t="s">
        <v>201</v>
      </c>
      <c r="H267" t="s">
        <v>202</v>
      </c>
      <c r="I267" t="s">
        <v>63</v>
      </c>
      <c r="J267">
        <v>4</v>
      </c>
      <c r="K267">
        <v>480</v>
      </c>
      <c r="L267" t="s">
        <v>17</v>
      </c>
      <c r="M267" t="s">
        <v>105</v>
      </c>
      <c r="N267">
        <f t="shared" si="4"/>
        <v>1920</v>
      </c>
    </row>
    <row r="268" spans="1:14" x14ac:dyDescent="0.3">
      <c r="A268" t="s">
        <v>552</v>
      </c>
      <c r="B268" s="4">
        <v>46095</v>
      </c>
      <c r="C268" t="s">
        <v>227</v>
      </c>
      <c r="D268" t="s">
        <v>228</v>
      </c>
      <c r="E268" t="s">
        <v>1</v>
      </c>
      <c r="F268" t="s">
        <v>90</v>
      </c>
      <c r="G268" t="s">
        <v>56</v>
      </c>
      <c r="H268" t="s">
        <v>3</v>
      </c>
      <c r="I268" t="s">
        <v>57</v>
      </c>
      <c r="J268">
        <v>2</v>
      </c>
      <c r="K268">
        <v>8200</v>
      </c>
      <c r="L268" t="s">
        <v>7</v>
      </c>
      <c r="M268" t="s">
        <v>80</v>
      </c>
      <c r="N268">
        <f t="shared" si="4"/>
        <v>16400</v>
      </c>
    </row>
    <row r="269" spans="1:14" x14ac:dyDescent="0.3">
      <c r="A269" t="s">
        <v>553</v>
      </c>
      <c r="B269" s="4">
        <v>46200</v>
      </c>
      <c r="C269" t="s">
        <v>158</v>
      </c>
      <c r="D269" t="s">
        <v>159</v>
      </c>
      <c r="E269" t="s">
        <v>18</v>
      </c>
      <c r="F269" t="s">
        <v>48</v>
      </c>
      <c r="G269" t="s">
        <v>79</v>
      </c>
      <c r="H269" t="s">
        <v>11</v>
      </c>
      <c r="I269" t="s">
        <v>57</v>
      </c>
      <c r="J269">
        <v>3</v>
      </c>
      <c r="K269">
        <v>5200</v>
      </c>
      <c r="L269" t="s">
        <v>4</v>
      </c>
      <c r="M269" t="s">
        <v>80</v>
      </c>
      <c r="N269">
        <f t="shared" si="4"/>
        <v>15600</v>
      </c>
    </row>
    <row r="270" spans="1:14" x14ac:dyDescent="0.3">
      <c r="A270" t="s">
        <v>554</v>
      </c>
      <c r="B270" s="4">
        <v>46097</v>
      </c>
      <c r="C270" t="s">
        <v>538</v>
      </c>
      <c r="D270" t="s">
        <v>539</v>
      </c>
      <c r="E270" t="s">
        <v>15</v>
      </c>
      <c r="F270" t="s">
        <v>48</v>
      </c>
      <c r="G270" t="s">
        <v>91</v>
      </c>
      <c r="H270" t="s">
        <v>13</v>
      </c>
      <c r="I270" t="s">
        <v>57</v>
      </c>
      <c r="J270">
        <v>1</v>
      </c>
      <c r="K270">
        <v>3255</v>
      </c>
      <c r="L270" t="s">
        <v>4</v>
      </c>
      <c r="M270" t="s">
        <v>105</v>
      </c>
      <c r="N270">
        <f t="shared" si="4"/>
        <v>3255</v>
      </c>
    </row>
    <row r="271" spans="1:14" x14ac:dyDescent="0.3">
      <c r="A271" t="s">
        <v>555</v>
      </c>
      <c r="B271" s="4">
        <v>46221</v>
      </c>
      <c r="C271" t="s">
        <v>70</v>
      </c>
      <c r="D271" t="s">
        <v>71</v>
      </c>
      <c r="E271" t="s">
        <v>10</v>
      </c>
      <c r="F271" t="s">
        <v>72</v>
      </c>
      <c r="G271" t="s">
        <v>201</v>
      </c>
      <c r="H271" t="s">
        <v>202</v>
      </c>
      <c r="I271" t="s">
        <v>63</v>
      </c>
      <c r="J271">
        <v>4</v>
      </c>
      <c r="K271">
        <v>480</v>
      </c>
      <c r="L271" t="s">
        <v>14</v>
      </c>
      <c r="M271" t="s">
        <v>80</v>
      </c>
      <c r="N271">
        <f t="shared" si="4"/>
        <v>1920</v>
      </c>
    </row>
    <row r="272" spans="1:14" x14ac:dyDescent="0.3">
      <c r="A272" t="s">
        <v>556</v>
      </c>
      <c r="B272" s="4">
        <v>46112</v>
      </c>
      <c r="C272" t="s">
        <v>474</v>
      </c>
      <c r="D272" t="s">
        <v>417</v>
      </c>
      <c r="E272" t="s">
        <v>19</v>
      </c>
      <c r="F272" t="s">
        <v>90</v>
      </c>
      <c r="G272" t="s">
        <v>183</v>
      </c>
      <c r="H272" t="s">
        <v>184</v>
      </c>
      <c r="I272" t="s">
        <v>111</v>
      </c>
      <c r="J272">
        <v>6</v>
      </c>
      <c r="K272">
        <v>180</v>
      </c>
      <c r="L272" t="s">
        <v>2</v>
      </c>
      <c r="M272" t="s">
        <v>105</v>
      </c>
      <c r="N272">
        <f t="shared" si="4"/>
        <v>1080</v>
      </c>
    </row>
    <row r="273" spans="1:14" x14ac:dyDescent="0.3">
      <c r="A273" t="s">
        <v>557</v>
      </c>
      <c r="B273" s="4">
        <v>46235</v>
      </c>
      <c r="C273" t="s">
        <v>361</v>
      </c>
      <c r="D273" t="s">
        <v>362</v>
      </c>
      <c r="E273" t="s">
        <v>15</v>
      </c>
      <c r="F273" t="s">
        <v>48</v>
      </c>
      <c r="G273" t="s">
        <v>79</v>
      </c>
      <c r="H273" t="s">
        <v>11</v>
      </c>
      <c r="I273" t="s">
        <v>57</v>
      </c>
      <c r="J273">
        <v>2</v>
      </c>
      <c r="K273">
        <v>5460</v>
      </c>
      <c r="L273" t="s">
        <v>2</v>
      </c>
      <c r="M273" t="s">
        <v>80</v>
      </c>
      <c r="N273">
        <f t="shared" si="4"/>
        <v>10920</v>
      </c>
    </row>
    <row r="274" spans="1:14" x14ac:dyDescent="0.3">
      <c r="A274" t="s">
        <v>558</v>
      </c>
      <c r="B274" s="4">
        <v>46181</v>
      </c>
      <c r="C274" t="s">
        <v>140</v>
      </c>
      <c r="D274" t="s">
        <v>141</v>
      </c>
      <c r="E274" t="s">
        <v>1</v>
      </c>
      <c r="F274" t="s">
        <v>48</v>
      </c>
      <c r="G274" t="s">
        <v>67</v>
      </c>
      <c r="H274" t="s">
        <v>8</v>
      </c>
      <c r="I274" t="s">
        <v>68</v>
      </c>
      <c r="J274">
        <v>3</v>
      </c>
      <c r="K274">
        <v>1450</v>
      </c>
      <c r="L274" t="s">
        <v>9</v>
      </c>
      <c r="M274" t="s">
        <v>58</v>
      </c>
      <c r="N274">
        <f t="shared" si="4"/>
        <v>4350</v>
      </c>
    </row>
    <row r="275" spans="1:14" x14ac:dyDescent="0.3">
      <c r="A275" t="s">
        <v>559</v>
      </c>
      <c r="B275" s="4">
        <v>46081</v>
      </c>
      <c r="C275" t="s">
        <v>114</v>
      </c>
      <c r="D275" t="s">
        <v>115</v>
      </c>
      <c r="E275" t="s">
        <v>18</v>
      </c>
      <c r="F275" t="s">
        <v>72</v>
      </c>
      <c r="G275" t="s">
        <v>84</v>
      </c>
      <c r="H275" t="s">
        <v>85</v>
      </c>
      <c r="I275" t="s">
        <v>51</v>
      </c>
      <c r="J275">
        <v>3</v>
      </c>
      <c r="K275">
        <v>722</v>
      </c>
      <c r="L275" t="s">
        <v>14</v>
      </c>
      <c r="M275" t="s">
        <v>105</v>
      </c>
      <c r="N275">
        <f t="shared" si="4"/>
        <v>2166</v>
      </c>
    </row>
    <row r="276" spans="1:14" x14ac:dyDescent="0.3">
      <c r="A276" t="s">
        <v>560</v>
      </c>
      <c r="B276" s="4">
        <v>46049</v>
      </c>
      <c r="C276" t="s">
        <v>561</v>
      </c>
      <c r="D276" t="s">
        <v>562</v>
      </c>
      <c r="E276" t="s">
        <v>15</v>
      </c>
      <c r="F276" t="s">
        <v>90</v>
      </c>
      <c r="G276" t="s">
        <v>205</v>
      </c>
      <c r="H276" t="s">
        <v>206</v>
      </c>
      <c r="I276" t="s">
        <v>51</v>
      </c>
      <c r="J276">
        <v>3</v>
      </c>
      <c r="K276">
        <v>590</v>
      </c>
      <c r="L276" t="s">
        <v>14</v>
      </c>
      <c r="M276" t="s">
        <v>52</v>
      </c>
      <c r="N276">
        <f t="shared" si="4"/>
        <v>1770</v>
      </c>
    </row>
    <row r="277" spans="1:14" x14ac:dyDescent="0.3">
      <c r="A277" t="s">
        <v>563</v>
      </c>
      <c r="B277" s="4">
        <v>46146</v>
      </c>
      <c r="C277" t="s">
        <v>281</v>
      </c>
      <c r="D277" t="s">
        <v>282</v>
      </c>
      <c r="E277" t="s">
        <v>10</v>
      </c>
      <c r="F277" t="s">
        <v>48</v>
      </c>
      <c r="G277" t="s">
        <v>205</v>
      </c>
      <c r="H277" t="s">
        <v>206</v>
      </c>
      <c r="I277" t="s">
        <v>51</v>
      </c>
      <c r="J277">
        <v>3</v>
      </c>
      <c r="K277">
        <v>590</v>
      </c>
      <c r="L277" t="s">
        <v>7</v>
      </c>
      <c r="M277" t="s">
        <v>80</v>
      </c>
      <c r="N277">
        <f t="shared" si="4"/>
        <v>1770</v>
      </c>
    </row>
    <row r="278" spans="1:14" x14ac:dyDescent="0.3">
      <c r="A278" t="s">
        <v>564</v>
      </c>
      <c r="B278" s="4">
        <v>46256</v>
      </c>
      <c r="C278" t="s">
        <v>82</v>
      </c>
      <c r="D278" t="s">
        <v>83</v>
      </c>
      <c r="E278" t="s">
        <v>10</v>
      </c>
      <c r="F278" t="s">
        <v>72</v>
      </c>
      <c r="G278" t="s">
        <v>163</v>
      </c>
      <c r="H278" t="s">
        <v>164</v>
      </c>
      <c r="I278" t="s">
        <v>111</v>
      </c>
      <c r="J278">
        <v>4</v>
      </c>
      <c r="K278">
        <v>252</v>
      </c>
      <c r="L278" t="s">
        <v>9</v>
      </c>
      <c r="M278" t="s">
        <v>58</v>
      </c>
      <c r="N278">
        <f t="shared" si="4"/>
        <v>1008</v>
      </c>
    </row>
    <row r="279" spans="1:14" x14ac:dyDescent="0.3">
      <c r="A279" t="s">
        <v>565</v>
      </c>
      <c r="B279" s="4">
        <v>46130</v>
      </c>
      <c r="C279" t="s">
        <v>174</v>
      </c>
      <c r="D279" t="s">
        <v>175</v>
      </c>
      <c r="E279" t="s">
        <v>10</v>
      </c>
      <c r="F279" t="s">
        <v>72</v>
      </c>
      <c r="G279" t="s">
        <v>123</v>
      </c>
      <c r="H279" t="s">
        <v>124</v>
      </c>
      <c r="I279" t="s">
        <v>111</v>
      </c>
      <c r="J279">
        <v>5</v>
      </c>
      <c r="K279">
        <v>160</v>
      </c>
      <c r="L279" t="s">
        <v>14</v>
      </c>
      <c r="M279" t="s">
        <v>105</v>
      </c>
      <c r="N279">
        <f t="shared" si="4"/>
        <v>800</v>
      </c>
    </row>
    <row r="280" spans="1:14" x14ac:dyDescent="0.3">
      <c r="A280" t="s">
        <v>566</v>
      </c>
      <c r="B280" s="4">
        <v>46071</v>
      </c>
      <c r="C280" t="s">
        <v>65</v>
      </c>
      <c r="D280" t="s">
        <v>66</v>
      </c>
      <c r="E280" t="s">
        <v>1</v>
      </c>
      <c r="F280" t="s">
        <v>48</v>
      </c>
      <c r="G280" t="s">
        <v>205</v>
      </c>
      <c r="H280" t="s">
        <v>206</v>
      </c>
      <c r="I280" t="s">
        <v>51</v>
      </c>
      <c r="J280">
        <v>6</v>
      </c>
      <c r="K280">
        <v>590</v>
      </c>
      <c r="L280" t="s">
        <v>14</v>
      </c>
      <c r="M280" t="s">
        <v>58</v>
      </c>
      <c r="N280">
        <f t="shared" si="4"/>
        <v>3540</v>
      </c>
    </row>
    <row r="281" spans="1:14" x14ac:dyDescent="0.3">
      <c r="A281" t="s">
        <v>567</v>
      </c>
      <c r="B281" s="4">
        <v>46109</v>
      </c>
      <c r="C281" t="s">
        <v>514</v>
      </c>
      <c r="D281" t="s">
        <v>515</v>
      </c>
      <c r="E281" t="s">
        <v>18</v>
      </c>
      <c r="F281" t="s">
        <v>72</v>
      </c>
      <c r="G281" t="s">
        <v>67</v>
      </c>
      <c r="H281" t="s">
        <v>8</v>
      </c>
      <c r="I281" t="s">
        <v>68</v>
      </c>
      <c r="J281">
        <v>1</v>
      </c>
      <c r="K281">
        <v>1522.5</v>
      </c>
      <c r="L281" t="s">
        <v>17</v>
      </c>
      <c r="M281" t="s">
        <v>105</v>
      </c>
      <c r="N281">
        <f t="shared" si="4"/>
        <v>1522.5</v>
      </c>
    </row>
    <row r="282" spans="1:14" x14ac:dyDescent="0.3">
      <c r="A282" t="s">
        <v>568</v>
      </c>
      <c r="B282" s="4">
        <v>46241</v>
      </c>
      <c r="C282" t="s">
        <v>132</v>
      </c>
      <c r="D282" t="s">
        <v>20</v>
      </c>
      <c r="E282" t="s">
        <v>19</v>
      </c>
      <c r="F282" t="s">
        <v>90</v>
      </c>
      <c r="G282" t="s">
        <v>208</v>
      </c>
      <c r="H282" t="s">
        <v>22</v>
      </c>
      <c r="I282" t="s">
        <v>68</v>
      </c>
      <c r="J282">
        <v>2</v>
      </c>
      <c r="K282">
        <v>2200</v>
      </c>
      <c r="L282" t="s">
        <v>9</v>
      </c>
      <c r="M282" t="s">
        <v>58</v>
      </c>
      <c r="N282">
        <f t="shared" si="4"/>
        <v>4400</v>
      </c>
    </row>
    <row r="283" spans="1:14" x14ac:dyDescent="0.3">
      <c r="A283" t="s">
        <v>569</v>
      </c>
      <c r="B283" s="4">
        <v>46211</v>
      </c>
      <c r="C283" t="s">
        <v>561</v>
      </c>
      <c r="D283" t="s">
        <v>562</v>
      </c>
      <c r="E283" t="s">
        <v>15</v>
      </c>
      <c r="F283" t="s">
        <v>90</v>
      </c>
      <c r="G283" t="s">
        <v>123</v>
      </c>
      <c r="H283" t="s">
        <v>124</v>
      </c>
      <c r="I283" t="s">
        <v>111</v>
      </c>
      <c r="J283">
        <v>2</v>
      </c>
      <c r="K283">
        <v>160</v>
      </c>
      <c r="L283" t="s">
        <v>2</v>
      </c>
      <c r="M283" t="s">
        <v>52</v>
      </c>
      <c r="N283">
        <f t="shared" si="4"/>
        <v>320</v>
      </c>
    </row>
    <row r="284" spans="1:14" x14ac:dyDescent="0.3">
      <c r="A284" t="s">
        <v>570</v>
      </c>
      <c r="B284" s="4">
        <v>46226</v>
      </c>
      <c r="C284" t="s">
        <v>305</v>
      </c>
      <c r="D284" t="s">
        <v>306</v>
      </c>
      <c r="E284" t="s">
        <v>10</v>
      </c>
      <c r="F284" t="s">
        <v>276</v>
      </c>
      <c r="G284" t="s">
        <v>61</v>
      </c>
      <c r="H284" t="s">
        <v>62</v>
      </c>
      <c r="I284" t="s">
        <v>63</v>
      </c>
      <c r="J284">
        <v>1</v>
      </c>
      <c r="K284">
        <v>110</v>
      </c>
      <c r="L284" t="s">
        <v>9</v>
      </c>
      <c r="M284" t="s">
        <v>105</v>
      </c>
      <c r="N284">
        <f t="shared" si="4"/>
        <v>110</v>
      </c>
    </row>
    <row r="285" spans="1:14" x14ac:dyDescent="0.3">
      <c r="A285" t="s">
        <v>571</v>
      </c>
      <c r="B285" s="4">
        <v>46155</v>
      </c>
      <c r="C285" t="s">
        <v>204</v>
      </c>
      <c r="D285" t="s">
        <v>71</v>
      </c>
      <c r="E285" t="s">
        <v>15</v>
      </c>
      <c r="F285" t="s">
        <v>90</v>
      </c>
      <c r="G285" t="s">
        <v>95</v>
      </c>
      <c r="H285" t="s">
        <v>96</v>
      </c>
      <c r="I285" t="s">
        <v>75</v>
      </c>
      <c r="J285">
        <v>1</v>
      </c>
      <c r="K285">
        <v>650</v>
      </c>
      <c r="L285" t="s">
        <v>2</v>
      </c>
      <c r="M285" t="s">
        <v>58</v>
      </c>
      <c r="N285">
        <f t="shared" si="4"/>
        <v>650</v>
      </c>
    </row>
    <row r="286" spans="1:14" x14ac:dyDescent="0.3">
      <c r="A286" t="s">
        <v>572</v>
      </c>
      <c r="B286" s="4">
        <v>46146</v>
      </c>
      <c r="C286" t="s">
        <v>573</v>
      </c>
      <c r="D286" t="s">
        <v>20</v>
      </c>
      <c r="E286" t="s">
        <v>10</v>
      </c>
      <c r="F286" t="s">
        <v>48</v>
      </c>
      <c r="G286" t="s">
        <v>208</v>
      </c>
      <c r="H286" t="s">
        <v>22</v>
      </c>
      <c r="I286" t="s">
        <v>68</v>
      </c>
      <c r="J286">
        <v>1</v>
      </c>
      <c r="K286">
        <v>2200</v>
      </c>
      <c r="L286" t="s">
        <v>14</v>
      </c>
      <c r="M286" t="s">
        <v>80</v>
      </c>
      <c r="N286">
        <f t="shared" si="4"/>
        <v>2200</v>
      </c>
    </row>
    <row r="287" spans="1:14" x14ac:dyDescent="0.3">
      <c r="A287" t="s">
        <v>574</v>
      </c>
      <c r="B287" s="4">
        <v>46138</v>
      </c>
      <c r="C287" t="s">
        <v>98</v>
      </c>
      <c r="D287" t="s">
        <v>16</v>
      </c>
      <c r="E287" t="s">
        <v>1</v>
      </c>
      <c r="F287" t="s">
        <v>48</v>
      </c>
      <c r="G287" t="s">
        <v>56</v>
      </c>
      <c r="H287" t="s">
        <v>3</v>
      </c>
      <c r="I287" t="s">
        <v>57</v>
      </c>
      <c r="J287">
        <v>4</v>
      </c>
      <c r="K287">
        <v>8200</v>
      </c>
      <c r="L287" t="s">
        <v>7</v>
      </c>
      <c r="M287" t="s">
        <v>58</v>
      </c>
      <c r="N287">
        <f t="shared" si="4"/>
        <v>32800</v>
      </c>
    </row>
    <row r="288" spans="1:14" x14ac:dyDescent="0.3">
      <c r="A288" t="s">
        <v>575</v>
      </c>
      <c r="B288" s="4">
        <v>46201</v>
      </c>
      <c r="C288" t="s">
        <v>250</v>
      </c>
      <c r="D288" t="s">
        <v>251</v>
      </c>
      <c r="E288" t="s">
        <v>1</v>
      </c>
      <c r="F288" t="s">
        <v>48</v>
      </c>
      <c r="G288" t="s">
        <v>201</v>
      </c>
      <c r="H288" t="s">
        <v>202</v>
      </c>
      <c r="I288" t="s">
        <v>63</v>
      </c>
      <c r="J288">
        <v>1</v>
      </c>
      <c r="K288">
        <v>456</v>
      </c>
      <c r="L288" t="s">
        <v>4</v>
      </c>
      <c r="M288" t="s">
        <v>80</v>
      </c>
      <c r="N288">
        <f t="shared" si="4"/>
        <v>456</v>
      </c>
    </row>
    <row r="289" spans="1:14" x14ac:dyDescent="0.3">
      <c r="A289" t="s">
        <v>576</v>
      </c>
      <c r="B289" s="4">
        <v>46199</v>
      </c>
      <c r="C289" t="s">
        <v>457</v>
      </c>
      <c r="D289" t="s">
        <v>458</v>
      </c>
      <c r="E289" t="s">
        <v>1</v>
      </c>
      <c r="F289" t="s">
        <v>48</v>
      </c>
      <c r="G289" t="s">
        <v>109</v>
      </c>
      <c r="H289" t="s">
        <v>110</v>
      </c>
      <c r="I289" t="s">
        <v>111</v>
      </c>
      <c r="J289">
        <v>2</v>
      </c>
      <c r="K289">
        <v>320</v>
      </c>
      <c r="L289" t="s">
        <v>2</v>
      </c>
      <c r="M289" t="s">
        <v>58</v>
      </c>
      <c r="N289">
        <f t="shared" si="4"/>
        <v>640</v>
      </c>
    </row>
    <row r="290" spans="1:14" x14ac:dyDescent="0.3">
      <c r="A290" t="s">
        <v>577</v>
      </c>
      <c r="B290" s="4">
        <v>46118</v>
      </c>
      <c r="C290" t="s">
        <v>335</v>
      </c>
      <c r="D290" t="s">
        <v>336</v>
      </c>
      <c r="E290" t="s">
        <v>6</v>
      </c>
      <c r="F290" t="s">
        <v>90</v>
      </c>
      <c r="G290" t="s">
        <v>239</v>
      </c>
      <c r="H290" t="s">
        <v>240</v>
      </c>
      <c r="I290" t="s">
        <v>63</v>
      </c>
      <c r="J290">
        <v>3</v>
      </c>
      <c r="K290">
        <v>720</v>
      </c>
      <c r="L290" t="s">
        <v>9</v>
      </c>
      <c r="M290" t="s">
        <v>105</v>
      </c>
      <c r="N290">
        <f t="shared" si="4"/>
        <v>2160</v>
      </c>
    </row>
    <row r="291" spans="1:14" x14ac:dyDescent="0.3">
      <c r="A291" t="s">
        <v>578</v>
      </c>
      <c r="B291" s="4">
        <v>46215</v>
      </c>
      <c r="C291" t="s">
        <v>451</v>
      </c>
      <c r="D291" t="s">
        <v>452</v>
      </c>
      <c r="E291" t="s">
        <v>6</v>
      </c>
      <c r="F291" t="s">
        <v>72</v>
      </c>
      <c r="G291" t="s">
        <v>73</v>
      </c>
      <c r="H291" t="s">
        <v>74</v>
      </c>
      <c r="I291" t="s">
        <v>75</v>
      </c>
      <c r="J291">
        <v>10</v>
      </c>
      <c r="K291">
        <v>420</v>
      </c>
      <c r="L291" t="s">
        <v>4</v>
      </c>
      <c r="M291" t="s">
        <v>105</v>
      </c>
      <c r="N291">
        <f t="shared" si="4"/>
        <v>4200</v>
      </c>
    </row>
    <row r="292" spans="1:14" x14ac:dyDescent="0.3">
      <c r="A292" t="s">
        <v>579</v>
      </c>
      <c r="B292" s="4">
        <v>46229</v>
      </c>
      <c r="C292" t="s">
        <v>143</v>
      </c>
      <c r="D292" t="s">
        <v>144</v>
      </c>
      <c r="E292" t="s">
        <v>15</v>
      </c>
      <c r="F292" t="s">
        <v>48</v>
      </c>
      <c r="G292" t="s">
        <v>49</v>
      </c>
      <c r="H292" t="s">
        <v>50</v>
      </c>
      <c r="I292" t="s">
        <v>51</v>
      </c>
      <c r="J292">
        <v>3</v>
      </c>
      <c r="K292">
        <v>95</v>
      </c>
      <c r="L292" t="s">
        <v>9</v>
      </c>
      <c r="M292" t="s">
        <v>58</v>
      </c>
      <c r="N292">
        <f t="shared" si="4"/>
        <v>285</v>
      </c>
    </row>
    <row r="293" spans="1:14" x14ac:dyDescent="0.3">
      <c r="A293" t="s">
        <v>580</v>
      </c>
      <c r="B293" s="4">
        <v>46159</v>
      </c>
      <c r="C293" t="s">
        <v>316</v>
      </c>
      <c r="D293" t="s">
        <v>317</v>
      </c>
      <c r="E293" t="s">
        <v>6</v>
      </c>
      <c r="F293" t="s">
        <v>72</v>
      </c>
      <c r="G293" t="s">
        <v>73</v>
      </c>
      <c r="H293" t="s">
        <v>74</v>
      </c>
      <c r="I293" t="s">
        <v>75</v>
      </c>
      <c r="J293">
        <v>3</v>
      </c>
      <c r="K293">
        <v>399</v>
      </c>
      <c r="L293" t="s">
        <v>17</v>
      </c>
      <c r="M293" t="s">
        <v>58</v>
      </c>
      <c r="N293">
        <f t="shared" si="4"/>
        <v>1197</v>
      </c>
    </row>
    <row r="294" spans="1:14" x14ac:dyDescent="0.3">
      <c r="A294" t="s">
        <v>581</v>
      </c>
      <c r="B294" s="4">
        <v>46255</v>
      </c>
      <c r="C294" t="s">
        <v>582</v>
      </c>
      <c r="D294" t="s">
        <v>583</v>
      </c>
      <c r="E294" t="s">
        <v>10</v>
      </c>
      <c r="F294" t="s">
        <v>72</v>
      </c>
      <c r="G294" t="s">
        <v>49</v>
      </c>
      <c r="H294" t="s">
        <v>50</v>
      </c>
      <c r="I294" t="s">
        <v>51</v>
      </c>
      <c r="J294">
        <v>2</v>
      </c>
      <c r="K294">
        <v>99.75</v>
      </c>
      <c r="L294" t="s">
        <v>17</v>
      </c>
      <c r="M294" t="s">
        <v>52</v>
      </c>
      <c r="N294">
        <f t="shared" si="4"/>
        <v>199.5</v>
      </c>
    </row>
    <row r="295" spans="1:14" x14ac:dyDescent="0.3">
      <c r="A295" t="s">
        <v>584</v>
      </c>
      <c r="B295" s="4">
        <v>46242</v>
      </c>
      <c r="C295" t="s">
        <v>585</v>
      </c>
      <c r="D295" t="s">
        <v>182</v>
      </c>
      <c r="E295" t="s">
        <v>6</v>
      </c>
      <c r="F295" t="s">
        <v>90</v>
      </c>
      <c r="G295" t="s">
        <v>61</v>
      </c>
      <c r="H295" t="s">
        <v>62</v>
      </c>
      <c r="I295" t="s">
        <v>63</v>
      </c>
      <c r="J295">
        <v>2</v>
      </c>
      <c r="K295">
        <v>104.5</v>
      </c>
      <c r="L295" t="s">
        <v>2</v>
      </c>
      <c r="M295" t="s">
        <v>52</v>
      </c>
      <c r="N295">
        <f t="shared" si="4"/>
        <v>209</v>
      </c>
    </row>
    <row r="296" spans="1:14" x14ac:dyDescent="0.3">
      <c r="A296" t="s">
        <v>586</v>
      </c>
      <c r="B296" s="4">
        <v>46047</v>
      </c>
      <c r="C296" t="s">
        <v>474</v>
      </c>
      <c r="D296" t="s">
        <v>417</v>
      </c>
      <c r="E296" t="s">
        <v>19</v>
      </c>
      <c r="F296" t="s">
        <v>90</v>
      </c>
      <c r="G296" t="s">
        <v>205</v>
      </c>
      <c r="H296" t="s">
        <v>206</v>
      </c>
      <c r="I296" t="s">
        <v>51</v>
      </c>
      <c r="J296">
        <v>5</v>
      </c>
      <c r="K296">
        <v>590</v>
      </c>
      <c r="L296" t="s">
        <v>14</v>
      </c>
      <c r="M296" t="s">
        <v>105</v>
      </c>
      <c r="N296">
        <f t="shared" si="4"/>
        <v>2950</v>
      </c>
    </row>
    <row r="297" spans="1:14" x14ac:dyDescent="0.3">
      <c r="A297" t="s">
        <v>587</v>
      </c>
      <c r="B297" s="4">
        <v>46130</v>
      </c>
      <c r="C297" t="s">
        <v>373</v>
      </c>
      <c r="D297" t="s">
        <v>264</v>
      </c>
      <c r="E297" t="s">
        <v>15</v>
      </c>
      <c r="F297" t="s">
        <v>48</v>
      </c>
      <c r="G297" t="s">
        <v>84</v>
      </c>
      <c r="H297" t="s">
        <v>85</v>
      </c>
      <c r="I297" t="s">
        <v>51</v>
      </c>
      <c r="J297">
        <v>2</v>
      </c>
      <c r="K297">
        <v>722</v>
      </c>
      <c r="L297" t="s">
        <v>17</v>
      </c>
      <c r="M297" t="s">
        <v>105</v>
      </c>
      <c r="N297">
        <f t="shared" si="4"/>
        <v>1444</v>
      </c>
    </row>
    <row r="298" spans="1:14" x14ac:dyDescent="0.3">
      <c r="A298" t="s">
        <v>588</v>
      </c>
      <c r="B298" s="4">
        <v>46209</v>
      </c>
      <c r="C298" t="s">
        <v>589</v>
      </c>
      <c r="D298" t="s">
        <v>358</v>
      </c>
      <c r="E298" t="s">
        <v>18</v>
      </c>
      <c r="F298" t="s">
        <v>48</v>
      </c>
      <c r="G298" t="s">
        <v>239</v>
      </c>
      <c r="H298" t="s">
        <v>240</v>
      </c>
      <c r="I298" t="s">
        <v>63</v>
      </c>
      <c r="J298">
        <v>1</v>
      </c>
      <c r="K298">
        <v>720</v>
      </c>
      <c r="L298" t="s">
        <v>14</v>
      </c>
      <c r="M298" t="s">
        <v>52</v>
      </c>
      <c r="N298">
        <f t="shared" si="4"/>
        <v>720</v>
      </c>
    </row>
    <row r="299" spans="1:14" x14ac:dyDescent="0.3">
      <c r="A299" t="s">
        <v>590</v>
      </c>
      <c r="B299" s="4">
        <v>46035</v>
      </c>
      <c r="C299" t="s">
        <v>591</v>
      </c>
      <c r="D299" t="s">
        <v>592</v>
      </c>
      <c r="E299" t="s">
        <v>15</v>
      </c>
      <c r="F299" t="s">
        <v>72</v>
      </c>
      <c r="G299" t="s">
        <v>183</v>
      </c>
      <c r="H299" t="s">
        <v>184</v>
      </c>
      <c r="I299" t="s">
        <v>111</v>
      </c>
      <c r="J299">
        <v>2</v>
      </c>
      <c r="K299">
        <v>171</v>
      </c>
      <c r="L299" t="s">
        <v>17</v>
      </c>
      <c r="M299" t="s">
        <v>58</v>
      </c>
      <c r="N299">
        <f t="shared" si="4"/>
        <v>342</v>
      </c>
    </row>
    <row r="300" spans="1:14" x14ac:dyDescent="0.3">
      <c r="A300" t="s">
        <v>593</v>
      </c>
      <c r="B300" s="4">
        <v>46144</v>
      </c>
      <c r="C300" t="s">
        <v>483</v>
      </c>
      <c r="D300" t="s">
        <v>484</v>
      </c>
      <c r="E300" t="s">
        <v>15</v>
      </c>
      <c r="F300" t="s">
        <v>72</v>
      </c>
      <c r="G300" t="s">
        <v>183</v>
      </c>
      <c r="H300" t="s">
        <v>184</v>
      </c>
      <c r="I300" t="s">
        <v>111</v>
      </c>
      <c r="J300">
        <v>1</v>
      </c>
      <c r="K300">
        <v>180</v>
      </c>
      <c r="L300" t="s">
        <v>9</v>
      </c>
      <c r="M300" t="s">
        <v>52</v>
      </c>
      <c r="N300">
        <f t="shared" si="4"/>
        <v>180</v>
      </c>
    </row>
    <row r="301" spans="1:14" x14ac:dyDescent="0.3">
      <c r="A301" t="s">
        <v>594</v>
      </c>
      <c r="B301" s="4">
        <v>46119</v>
      </c>
      <c r="C301" t="s">
        <v>510</v>
      </c>
      <c r="D301" t="s">
        <v>595</v>
      </c>
      <c r="E301" t="s">
        <v>10</v>
      </c>
      <c r="F301" t="s">
        <v>90</v>
      </c>
      <c r="G301" t="s">
        <v>95</v>
      </c>
      <c r="H301" t="s">
        <v>96</v>
      </c>
      <c r="I301" t="s">
        <v>75</v>
      </c>
      <c r="J301">
        <v>10</v>
      </c>
      <c r="K301">
        <v>650</v>
      </c>
      <c r="L301" t="s">
        <v>4</v>
      </c>
      <c r="M301" t="s">
        <v>105</v>
      </c>
      <c r="N301">
        <f t="shared" si="4"/>
        <v>6500</v>
      </c>
    </row>
    <row r="302" spans="1:14" x14ac:dyDescent="0.3">
      <c r="A302" t="s">
        <v>596</v>
      </c>
      <c r="B302" s="4">
        <v>46198</v>
      </c>
      <c r="C302" t="s">
        <v>328</v>
      </c>
      <c r="D302" t="s">
        <v>329</v>
      </c>
      <c r="E302" t="s">
        <v>15</v>
      </c>
      <c r="F302" t="s">
        <v>48</v>
      </c>
      <c r="G302" t="s">
        <v>183</v>
      </c>
      <c r="H302" t="s">
        <v>184</v>
      </c>
      <c r="I302" t="s">
        <v>111</v>
      </c>
      <c r="J302">
        <v>8</v>
      </c>
      <c r="K302">
        <v>189</v>
      </c>
      <c r="L302" t="s">
        <v>9</v>
      </c>
      <c r="M302" t="s">
        <v>80</v>
      </c>
      <c r="N302">
        <f t="shared" si="4"/>
        <v>1512</v>
      </c>
    </row>
    <row r="303" spans="1:14" x14ac:dyDescent="0.3">
      <c r="A303" t="s">
        <v>597</v>
      </c>
      <c r="B303" s="4">
        <v>46161</v>
      </c>
      <c r="C303" t="s">
        <v>470</v>
      </c>
      <c r="D303" t="s">
        <v>471</v>
      </c>
      <c r="E303" t="s">
        <v>1</v>
      </c>
      <c r="F303" t="s">
        <v>90</v>
      </c>
      <c r="G303" t="s">
        <v>123</v>
      </c>
      <c r="H303" t="s">
        <v>124</v>
      </c>
      <c r="I303" t="s">
        <v>111</v>
      </c>
      <c r="J303">
        <v>2</v>
      </c>
      <c r="K303">
        <v>160</v>
      </c>
      <c r="L303" t="s">
        <v>2</v>
      </c>
      <c r="M303" t="s">
        <v>52</v>
      </c>
      <c r="N303">
        <f t="shared" si="4"/>
        <v>320</v>
      </c>
    </row>
    <row r="304" spans="1:14" x14ac:dyDescent="0.3">
      <c r="A304" t="s">
        <v>598</v>
      </c>
      <c r="B304" s="4">
        <v>46217</v>
      </c>
      <c r="C304" t="s">
        <v>332</v>
      </c>
      <c r="D304" t="s">
        <v>333</v>
      </c>
      <c r="E304" t="s">
        <v>1</v>
      </c>
      <c r="F304" t="s">
        <v>72</v>
      </c>
      <c r="G304" t="s">
        <v>136</v>
      </c>
      <c r="H304" t="s">
        <v>137</v>
      </c>
      <c r="I304" t="s">
        <v>111</v>
      </c>
      <c r="J304">
        <v>1</v>
      </c>
      <c r="K304">
        <v>85</v>
      </c>
      <c r="L304" t="s">
        <v>4</v>
      </c>
      <c r="M304" t="s">
        <v>105</v>
      </c>
      <c r="N304">
        <f t="shared" si="4"/>
        <v>85</v>
      </c>
    </row>
    <row r="305" spans="1:14" x14ac:dyDescent="0.3">
      <c r="A305" t="s">
        <v>599</v>
      </c>
      <c r="B305" s="4">
        <v>46234</v>
      </c>
      <c r="C305" t="s">
        <v>348</v>
      </c>
      <c r="D305" t="s">
        <v>349</v>
      </c>
      <c r="E305" t="s">
        <v>19</v>
      </c>
      <c r="F305" t="s">
        <v>72</v>
      </c>
      <c r="G305" t="s">
        <v>109</v>
      </c>
      <c r="H305" t="s">
        <v>110</v>
      </c>
      <c r="I305" t="s">
        <v>111</v>
      </c>
      <c r="J305">
        <v>1</v>
      </c>
      <c r="K305">
        <v>320</v>
      </c>
      <c r="L305" t="s">
        <v>7</v>
      </c>
      <c r="M305" t="s">
        <v>52</v>
      </c>
      <c r="N305">
        <f t="shared" si="4"/>
        <v>320</v>
      </c>
    </row>
    <row r="306" spans="1:14" x14ac:dyDescent="0.3">
      <c r="A306" t="s">
        <v>600</v>
      </c>
      <c r="B306" s="4">
        <v>46248</v>
      </c>
      <c r="C306" t="s">
        <v>152</v>
      </c>
      <c r="D306" t="s">
        <v>153</v>
      </c>
      <c r="E306" t="s">
        <v>15</v>
      </c>
      <c r="F306" t="s">
        <v>48</v>
      </c>
      <c r="G306" t="s">
        <v>79</v>
      </c>
      <c r="H306" t="s">
        <v>11</v>
      </c>
      <c r="I306" t="s">
        <v>57</v>
      </c>
      <c r="J306">
        <v>3</v>
      </c>
      <c r="K306">
        <v>4940</v>
      </c>
      <c r="L306" t="s">
        <v>14</v>
      </c>
      <c r="M306" t="s">
        <v>105</v>
      </c>
      <c r="N306">
        <f t="shared" si="4"/>
        <v>14820</v>
      </c>
    </row>
    <row r="307" spans="1:14" x14ac:dyDescent="0.3">
      <c r="A307" t="s">
        <v>601</v>
      </c>
      <c r="B307" s="4">
        <v>46085</v>
      </c>
      <c r="C307" t="s">
        <v>210</v>
      </c>
      <c r="D307" t="s">
        <v>211</v>
      </c>
      <c r="E307" t="s">
        <v>19</v>
      </c>
      <c r="F307" t="s">
        <v>48</v>
      </c>
      <c r="G307" t="s">
        <v>136</v>
      </c>
      <c r="H307" t="s">
        <v>137</v>
      </c>
      <c r="I307" t="s">
        <v>111</v>
      </c>
      <c r="J307">
        <v>1</v>
      </c>
      <c r="K307">
        <v>80.75</v>
      </c>
      <c r="L307" t="s">
        <v>17</v>
      </c>
      <c r="M307" t="s">
        <v>58</v>
      </c>
      <c r="N307">
        <f t="shared" si="4"/>
        <v>80.75</v>
      </c>
    </row>
    <row r="308" spans="1:14" x14ac:dyDescent="0.3">
      <c r="A308" t="s">
        <v>602</v>
      </c>
      <c r="B308" s="4">
        <v>46086</v>
      </c>
      <c r="C308" t="s">
        <v>380</v>
      </c>
      <c r="D308" t="s">
        <v>381</v>
      </c>
      <c r="E308" t="s">
        <v>18</v>
      </c>
      <c r="F308" t="s">
        <v>72</v>
      </c>
      <c r="G308" t="s">
        <v>163</v>
      </c>
      <c r="H308" t="s">
        <v>164</v>
      </c>
      <c r="I308" t="s">
        <v>111</v>
      </c>
      <c r="J308">
        <v>3</v>
      </c>
      <c r="K308">
        <v>240</v>
      </c>
      <c r="L308" t="s">
        <v>4</v>
      </c>
      <c r="M308" t="s">
        <v>52</v>
      </c>
      <c r="N308">
        <f t="shared" si="4"/>
        <v>720</v>
      </c>
    </row>
    <row r="309" spans="1:14" x14ac:dyDescent="0.3">
      <c r="A309" t="s">
        <v>603</v>
      </c>
      <c r="B309" s="4">
        <v>46217</v>
      </c>
      <c r="C309" t="s">
        <v>364</v>
      </c>
      <c r="D309" t="s">
        <v>365</v>
      </c>
      <c r="E309" t="s">
        <v>6</v>
      </c>
      <c r="F309" t="s">
        <v>90</v>
      </c>
      <c r="G309" t="s">
        <v>79</v>
      </c>
      <c r="H309" t="s">
        <v>11</v>
      </c>
      <c r="I309" t="s">
        <v>57</v>
      </c>
      <c r="J309">
        <v>5</v>
      </c>
      <c r="K309">
        <v>4940</v>
      </c>
      <c r="L309" t="s">
        <v>9</v>
      </c>
      <c r="M309" t="s">
        <v>80</v>
      </c>
      <c r="N309">
        <f t="shared" si="4"/>
        <v>24700</v>
      </c>
    </row>
    <row r="310" spans="1:14" x14ac:dyDescent="0.3">
      <c r="A310" t="s">
        <v>604</v>
      </c>
      <c r="B310" s="4">
        <v>46171</v>
      </c>
      <c r="C310" t="s">
        <v>256</v>
      </c>
      <c r="D310" t="s">
        <v>199</v>
      </c>
      <c r="E310" t="s">
        <v>19</v>
      </c>
      <c r="F310" t="s">
        <v>72</v>
      </c>
      <c r="G310" t="s">
        <v>61</v>
      </c>
      <c r="H310" t="s">
        <v>62</v>
      </c>
      <c r="I310" t="s">
        <v>63</v>
      </c>
      <c r="J310">
        <v>3</v>
      </c>
      <c r="K310">
        <v>110</v>
      </c>
      <c r="L310" t="s">
        <v>9</v>
      </c>
      <c r="M310" t="s">
        <v>80</v>
      </c>
      <c r="N310">
        <f t="shared" si="4"/>
        <v>330</v>
      </c>
    </row>
    <row r="311" spans="1:14" x14ac:dyDescent="0.3">
      <c r="A311" t="s">
        <v>605</v>
      </c>
      <c r="B311" s="4">
        <v>46193</v>
      </c>
      <c r="C311" t="s">
        <v>285</v>
      </c>
      <c r="D311" t="s">
        <v>47</v>
      </c>
      <c r="E311" t="s">
        <v>6</v>
      </c>
      <c r="F311" t="s">
        <v>72</v>
      </c>
      <c r="G311" t="s">
        <v>208</v>
      </c>
      <c r="H311" t="s">
        <v>22</v>
      </c>
      <c r="I311" t="s">
        <v>68</v>
      </c>
      <c r="J311">
        <v>2</v>
      </c>
      <c r="K311">
        <v>2200</v>
      </c>
      <c r="L311" t="s">
        <v>7</v>
      </c>
      <c r="M311" t="s">
        <v>80</v>
      </c>
      <c r="N311">
        <f t="shared" si="4"/>
        <v>4400</v>
      </c>
    </row>
    <row r="312" spans="1:14" x14ac:dyDescent="0.3">
      <c r="A312" t="s">
        <v>606</v>
      </c>
      <c r="B312" s="4">
        <v>46175</v>
      </c>
      <c r="C312" t="s">
        <v>582</v>
      </c>
      <c r="D312" t="s">
        <v>583</v>
      </c>
      <c r="E312" t="s">
        <v>10</v>
      </c>
      <c r="F312" t="s">
        <v>72</v>
      </c>
      <c r="G312" t="s">
        <v>49</v>
      </c>
      <c r="H312" t="s">
        <v>50</v>
      </c>
      <c r="I312" t="s">
        <v>51</v>
      </c>
      <c r="J312">
        <v>5</v>
      </c>
      <c r="K312">
        <v>95</v>
      </c>
      <c r="L312" t="s">
        <v>2</v>
      </c>
      <c r="M312" t="s">
        <v>105</v>
      </c>
      <c r="N312">
        <f t="shared" si="4"/>
        <v>475</v>
      </c>
    </row>
    <row r="313" spans="1:14" x14ac:dyDescent="0.3">
      <c r="A313" t="s">
        <v>607</v>
      </c>
      <c r="B313" s="4">
        <v>46036</v>
      </c>
      <c r="C313" t="s">
        <v>538</v>
      </c>
      <c r="D313" t="s">
        <v>539</v>
      </c>
      <c r="E313" t="s">
        <v>15</v>
      </c>
      <c r="F313" t="s">
        <v>48</v>
      </c>
      <c r="G313" t="s">
        <v>205</v>
      </c>
      <c r="H313" t="s">
        <v>206</v>
      </c>
      <c r="I313" t="s">
        <v>51</v>
      </c>
      <c r="J313">
        <v>8</v>
      </c>
      <c r="K313">
        <v>590</v>
      </c>
      <c r="L313" t="s">
        <v>17</v>
      </c>
      <c r="M313" t="s">
        <v>80</v>
      </c>
      <c r="N313">
        <f t="shared" si="4"/>
        <v>4720</v>
      </c>
    </row>
    <row r="314" spans="1:14" x14ac:dyDescent="0.3">
      <c r="A314" t="s">
        <v>608</v>
      </c>
      <c r="B314" s="4">
        <v>46128</v>
      </c>
      <c r="C314" t="s">
        <v>234</v>
      </c>
      <c r="D314" t="s">
        <v>235</v>
      </c>
      <c r="E314" t="s">
        <v>15</v>
      </c>
      <c r="F314" t="s">
        <v>90</v>
      </c>
      <c r="G314" t="s">
        <v>95</v>
      </c>
      <c r="H314" t="s">
        <v>96</v>
      </c>
      <c r="I314" t="s">
        <v>75</v>
      </c>
      <c r="J314">
        <v>1</v>
      </c>
      <c r="K314">
        <v>650</v>
      </c>
      <c r="L314" t="s">
        <v>9</v>
      </c>
      <c r="M314" t="s">
        <v>105</v>
      </c>
      <c r="N314">
        <f t="shared" si="4"/>
        <v>650</v>
      </c>
    </row>
    <row r="315" spans="1:14" x14ac:dyDescent="0.3">
      <c r="A315" t="s">
        <v>609</v>
      </c>
      <c r="B315" s="4">
        <v>46100</v>
      </c>
      <c r="C315" t="s">
        <v>427</v>
      </c>
      <c r="D315" t="s">
        <v>428</v>
      </c>
      <c r="E315" t="s">
        <v>1</v>
      </c>
      <c r="F315" t="s">
        <v>48</v>
      </c>
      <c r="G315" t="s">
        <v>56</v>
      </c>
      <c r="H315" t="s">
        <v>3</v>
      </c>
      <c r="I315" t="s">
        <v>57</v>
      </c>
      <c r="J315">
        <v>5</v>
      </c>
      <c r="K315">
        <v>8200</v>
      </c>
      <c r="L315" t="s">
        <v>4</v>
      </c>
      <c r="M315" t="s">
        <v>58</v>
      </c>
      <c r="N315">
        <f t="shared" si="4"/>
        <v>41000</v>
      </c>
    </row>
    <row r="316" spans="1:14" x14ac:dyDescent="0.3">
      <c r="A316" t="s">
        <v>610</v>
      </c>
      <c r="B316" s="4">
        <v>46130</v>
      </c>
      <c r="C316" t="s">
        <v>538</v>
      </c>
      <c r="D316" t="s">
        <v>539</v>
      </c>
      <c r="E316" t="s">
        <v>15</v>
      </c>
      <c r="F316" t="s">
        <v>48</v>
      </c>
      <c r="G316" t="s">
        <v>95</v>
      </c>
      <c r="H316" t="s">
        <v>96</v>
      </c>
      <c r="I316" t="s">
        <v>75</v>
      </c>
      <c r="J316">
        <v>2</v>
      </c>
      <c r="K316">
        <v>650</v>
      </c>
      <c r="L316" t="s">
        <v>4</v>
      </c>
      <c r="M316" t="s">
        <v>52</v>
      </c>
      <c r="N316">
        <f t="shared" si="4"/>
        <v>1300</v>
      </c>
    </row>
    <row r="317" spans="1:14" x14ac:dyDescent="0.3">
      <c r="A317" t="s">
        <v>611</v>
      </c>
      <c r="B317" s="4">
        <v>46108</v>
      </c>
      <c r="C317" t="s">
        <v>181</v>
      </c>
      <c r="D317" t="s">
        <v>182</v>
      </c>
      <c r="E317" t="s">
        <v>18</v>
      </c>
      <c r="F317" t="s">
        <v>72</v>
      </c>
      <c r="G317" t="s">
        <v>79</v>
      </c>
      <c r="H317" t="s">
        <v>11</v>
      </c>
      <c r="I317" t="s">
        <v>57</v>
      </c>
      <c r="J317">
        <v>3</v>
      </c>
      <c r="K317">
        <v>5200</v>
      </c>
      <c r="L317" t="s">
        <v>7</v>
      </c>
      <c r="M317" t="s">
        <v>58</v>
      </c>
      <c r="N317">
        <f t="shared" si="4"/>
        <v>15600</v>
      </c>
    </row>
    <row r="318" spans="1:14" x14ac:dyDescent="0.3">
      <c r="A318" t="s">
        <v>612</v>
      </c>
      <c r="B318" s="4">
        <v>46037</v>
      </c>
      <c r="C318" t="s">
        <v>348</v>
      </c>
      <c r="D318" t="s">
        <v>349</v>
      </c>
      <c r="E318" t="s">
        <v>19</v>
      </c>
      <c r="F318" t="s">
        <v>72</v>
      </c>
      <c r="G318" t="s">
        <v>79</v>
      </c>
      <c r="H318" t="s">
        <v>11</v>
      </c>
      <c r="I318" t="s">
        <v>57</v>
      </c>
      <c r="J318">
        <v>1</v>
      </c>
      <c r="K318">
        <v>5460</v>
      </c>
      <c r="L318" t="s">
        <v>17</v>
      </c>
      <c r="M318" t="s">
        <v>58</v>
      </c>
      <c r="N318">
        <f t="shared" si="4"/>
        <v>5460</v>
      </c>
    </row>
    <row r="319" spans="1:14" x14ac:dyDescent="0.3">
      <c r="A319" t="s">
        <v>613</v>
      </c>
      <c r="B319" s="4">
        <v>46072</v>
      </c>
      <c r="C319" t="s">
        <v>303</v>
      </c>
      <c r="D319" t="s">
        <v>115</v>
      </c>
      <c r="E319" t="s">
        <v>1</v>
      </c>
      <c r="F319" t="s">
        <v>48</v>
      </c>
      <c r="G319" t="s">
        <v>183</v>
      </c>
      <c r="H319" t="s">
        <v>184</v>
      </c>
      <c r="I319" t="s">
        <v>111</v>
      </c>
      <c r="J319">
        <v>4</v>
      </c>
      <c r="K319">
        <v>189</v>
      </c>
      <c r="L319" t="s">
        <v>2</v>
      </c>
      <c r="M319" t="s">
        <v>52</v>
      </c>
      <c r="N319">
        <f t="shared" si="4"/>
        <v>756</v>
      </c>
    </row>
    <row r="320" spans="1:14" x14ac:dyDescent="0.3">
      <c r="A320" t="s">
        <v>614</v>
      </c>
      <c r="B320" s="4">
        <v>46246</v>
      </c>
      <c r="C320" t="s">
        <v>615</v>
      </c>
      <c r="D320" t="s">
        <v>118</v>
      </c>
      <c r="E320" t="s">
        <v>6</v>
      </c>
      <c r="F320" t="s">
        <v>48</v>
      </c>
      <c r="G320" t="s">
        <v>79</v>
      </c>
      <c r="H320" t="s">
        <v>11</v>
      </c>
      <c r="I320" t="s">
        <v>57</v>
      </c>
      <c r="J320">
        <v>5</v>
      </c>
      <c r="K320">
        <v>5200</v>
      </c>
      <c r="L320" t="s">
        <v>14</v>
      </c>
      <c r="M320" t="s">
        <v>52</v>
      </c>
      <c r="N320">
        <f t="shared" si="4"/>
        <v>26000</v>
      </c>
    </row>
    <row r="321" spans="1:14" x14ac:dyDescent="0.3">
      <c r="A321" t="s">
        <v>616</v>
      </c>
      <c r="B321" s="4">
        <v>46213</v>
      </c>
      <c r="C321" t="s">
        <v>483</v>
      </c>
      <c r="D321" t="s">
        <v>484</v>
      </c>
      <c r="E321" t="s">
        <v>15</v>
      </c>
      <c r="F321" t="s">
        <v>72</v>
      </c>
      <c r="G321" t="s">
        <v>79</v>
      </c>
      <c r="H321" t="s">
        <v>11</v>
      </c>
      <c r="I321" t="s">
        <v>57</v>
      </c>
      <c r="J321">
        <v>1</v>
      </c>
      <c r="K321">
        <v>5200</v>
      </c>
      <c r="L321" t="s">
        <v>9</v>
      </c>
      <c r="M321" t="s">
        <v>52</v>
      </c>
      <c r="N321">
        <f t="shared" si="4"/>
        <v>5200</v>
      </c>
    </row>
    <row r="322" spans="1:14" x14ac:dyDescent="0.3">
      <c r="A322" t="s">
        <v>617</v>
      </c>
      <c r="B322" s="4">
        <v>46165</v>
      </c>
      <c r="C322" t="s">
        <v>196</v>
      </c>
      <c r="D322" t="s">
        <v>21</v>
      </c>
      <c r="E322" t="s">
        <v>18</v>
      </c>
      <c r="F322" t="s">
        <v>48</v>
      </c>
      <c r="G322" t="s">
        <v>56</v>
      </c>
      <c r="H322" t="s">
        <v>3</v>
      </c>
      <c r="I322" t="s">
        <v>57</v>
      </c>
      <c r="J322">
        <v>1</v>
      </c>
      <c r="K322">
        <v>8200</v>
      </c>
      <c r="L322" t="s">
        <v>4</v>
      </c>
      <c r="M322" t="s">
        <v>105</v>
      </c>
      <c r="N322">
        <f t="shared" si="4"/>
        <v>8200</v>
      </c>
    </row>
    <row r="323" spans="1:14" x14ac:dyDescent="0.3">
      <c r="A323" t="s">
        <v>618</v>
      </c>
      <c r="B323" s="4">
        <v>46102</v>
      </c>
      <c r="C323" t="s">
        <v>348</v>
      </c>
      <c r="D323" t="s">
        <v>349</v>
      </c>
      <c r="E323" t="s">
        <v>19</v>
      </c>
      <c r="F323" t="s">
        <v>72</v>
      </c>
      <c r="G323" t="s">
        <v>201</v>
      </c>
      <c r="H323" t="s">
        <v>202</v>
      </c>
      <c r="I323" t="s">
        <v>63</v>
      </c>
      <c r="J323">
        <v>1</v>
      </c>
      <c r="K323">
        <v>504</v>
      </c>
      <c r="L323" t="s">
        <v>4</v>
      </c>
      <c r="M323" t="s">
        <v>105</v>
      </c>
      <c r="N323">
        <f t="shared" ref="N323:N386" si="5">J323*K323</f>
        <v>504</v>
      </c>
    </row>
    <row r="324" spans="1:14" x14ac:dyDescent="0.3">
      <c r="A324" t="s">
        <v>619</v>
      </c>
      <c r="B324" s="4">
        <v>46218</v>
      </c>
      <c r="C324" t="s">
        <v>230</v>
      </c>
      <c r="D324" t="s">
        <v>231</v>
      </c>
      <c r="E324" t="s">
        <v>1</v>
      </c>
      <c r="F324" t="s">
        <v>48</v>
      </c>
      <c r="G324" t="s">
        <v>205</v>
      </c>
      <c r="H324" t="s">
        <v>206</v>
      </c>
      <c r="I324" t="s">
        <v>51</v>
      </c>
      <c r="J324">
        <v>4</v>
      </c>
      <c r="K324">
        <v>590</v>
      </c>
      <c r="L324" t="s">
        <v>7</v>
      </c>
      <c r="M324" t="s">
        <v>80</v>
      </c>
      <c r="N324">
        <f>J324*K324</f>
        <v>2360</v>
      </c>
    </row>
    <row r="325" spans="1:14" x14ac:dyDescent="0.3">
      <c r="A325" t="s">
        <v>620</v>
      </c>
      <c r="B325" s="4">
        <v>46168</v>
      </c>
      <c r="C325" t="s">
        <v>281</v>
      </c>
      <c r="D325" t="s">
        <v>282</v>
      </c>
      <c r="E325" t="s">
        <v>10</v>
      </c>
      <c r="F325" t="s">
        <v>48</v>
      </c>
      <c r="G325" t="s">
        <v>163</v>
      </c>
      <c r="H325" t="s">
        <v>164</v>
      </c>
      <c r="I325" t="s">
        <v>111</v>
      </c>
      <c r="J325">
        <v>5</v>
      </c>
      <c r="K325">
        <v>240</v>
      </c>
      <c r="L325" t="s">
        <v>14</v>
      </c>
      <c r="M325" t="s">
        <v>80</v>
      </c>
      <c r="N325">
        <f t="shared" si="5"/>
        <v>1200</v>
      </c>
    </row>
    <row r="326" spans="1:14" x14ac:dyDescent="0.3">
      <c r="A326" t="s">
        <v>621</v>
      </c>
      <c r="B326" s="4">
        <v>46099</v>
      </c>
      <c r="C326" t="s">
        <v>293</v>
      </c>
      <c r="D326" t="s">
        <v>254</v>
      </c>
      <c r="E326" t="s">
        <v>19</v>
      </c>
      <c r="F326" t="s">
        <v>90</v>
      </c>
      <c r="G326" t="s">
        <v>95</v>
      </c>
      <c r="H326" t="s">
        <v>96</v>
      </c>
      <c r="I326" t="s">
        <v>75</v>
      </c>
      <c r="J326">
        <v>1</v>
      </c>
      <c r="K326">
        <v>650</v>
      </c>
      <c r="L326" t="s">
        <v>9</v>
      </c>
      <c r="M326" t="s">
        <v>105</v>
      </c>
      <c r="N326">
        <f t="shared" si="5"/>
        <v>650</v>
      </c>
    </row>
    <row r="327" spans="1:14" x14ac:dyDescent="0.3">
      <c r="A327" t="s">
        <v>622</v>
      </c>
      <c r="B327" s="4">
        <v>46151</v>
      </c>
      <c r="C327" t="s">
        <v>192</v>
      </c>
      <c r="D327" t="s">
        <v>193</v>
      </c>
      <c r="E327" t="s">
        <v>18</v>
      </c>
      <c r="F327" t="s">
        <v>72</v>
      </c>
      <c r="G327" t="s">
        <v>56</v>
      </c>
      <c r="H327" t="s">
        <v>3</v>
      </c>
      <c r="I327" t="s">
        <v>57</v>
      </c>
      <c r="J327">
        <v>2</v>
      </c>
      <c r="K327">
        <v>8200</v>
      </c>
      <c r="L327" t="s">
        <v>7</v>
      </c>
      <c r="M327" t="s">
        <v>105</v>
      </c>
      <c r="N327">
        <f t="shared" si="5"/>
        <v>16400</v>
      </c>
    </row>
    <row r="328" spans="1:14" x14ac:dyDescent="0.3">
      <c r="A328" t="s">
        <v>623</v>
      </c>
      <c r="B328" s="4">
        <v>46141</v>
      </c>
      <c r="C328" t="s">
        <v>218</v>
      </c>
      <c r="D328" t="s">
        <v>219</v>
      </c>
      <c r="E328" t="s">
        <v>18</v>
      </c>
      <c r="F328" t="s">
        <v>72</v>
      </c>
      <c r="G328" t="s">
        <v>205</v>
      </c>
      <c r="H328" t="s">
        <v>206</v>
      </c>
      <c r="I328" t="s">
        <v>51</v>
      </c>
      <c r="J328">
        <v>1</v>
      </c>
      <c r="K328">
        <v>590</v>
      </c>
      <c r="L328" t="s">
        <v>9</v>
      </c>
      <c r="M328" t="s">
        <v>52</v>
      </c>
      <c r="N328">
        <f t="shared" si="5"/>
        <v>590</v>
      </c>
    </row>
    <row r="329" spans="1:14" x14ac:dyDescent="0.3">
      <c r="A329" t="s">
        <v>624</v>
      </c>
      <c r="B329" s="4">
        <v>46149</v>
      </c>
      <c r="C329" t="s">
        <v>218</v>
      </c>
      <c r="D329" t="s">
        <v>219</v>
      </c>
      <c r="E329" t="s">
        <v>18</v>
      </c>
      <c r="F329" t="s">
        <v>72</v>
      </c>
      <c r="G329" t="s">
        <v>49</v>
      </c>
      <c r="H329" t="s">
        <v>50</v>
      </c>
      <c r="I329" t="s">
        <v>51</v>
      </c>
      <c r="J329">
        <v>1</v>
      </c>
      <c r="K329">
        <v>99.75</v>
      </c>
      <c r="L329" t="s">
        <v>2</v>
      </c>
      <c r="M329" t="s">
        <v>58</v>
      </c>
      <c r="N329">
        <f t="shared" si="5"/>
        <v>99.75</v>
      </c>
    </row>
    <row r="330" spans="1:14" x14ac:dyDescent="0.3">
      <c r="A330" t="s">
        <v>625</v>
      </c>
      <c r="B330" s="4">
        <v>46238</v>
      </c>
      <c r="C330" t="s">
        <v>316</v>
      </c>
      <c r="D330" t="s">
        <v>317</v>
      </c>
      <c r="E330" t="s">
        <v>6</v>
      </c>
      <c r="F330" t="s">
        <v>72</v>
      </c>
      <c r="G330" t="s">
        <v>163</v>
      </c>
      <c r="H330" t="s">
        <v>164</v>
      </c>
      <c r="I330" t="s">
        <v>111</v>
      </c>
      <c r="J330">
        <v>5</v>
      </c>
      <c r="K330">
        <v>228</v>
      </c>
      <c r="L330" t="s">
        <v>14</v>
      </c>
      <c r="M330" t="s">
        <v>105</v>
      </c>
      <c r="N330">
        <f t="shared" si="5"/>
        <v>1140</v>
      </c>
    </row>
    <row r="331" spans="1:14" x14ac:dyDescent="0.3">
      <c r="A331" t="s">
        <v>626</v>
      </c>
      <c r="B331" s="4">
        <v>46041</v>
      </c>
      <c r="C331" t="s">
        <v>140</v>
      </c>
      <c r="D331" t="s">
        <v>141</v>
      </c>
      <c r="E331" t="s">
        <v>1</v>
      </c>
      <c r="F331" t="s">
        <v>48</v>
      </c>
      <c r="G331" t="s">
        <v>56</v>
      </c>
      <c r="H331" t="s">
        <v>3</v>
      </c>
      <c r="I331" t="s">
        <v>57</v>
      </c>
      <c r="J331">
        <v>3</v>
      </c>
      <c r="K331">
        <v>7790</v>
      </c>
      <c r="L331" t="s">
        <v>9</v>
      </c>
      <c r="M331" t="s">
        <v>105</v>
      </c>
      <c r="N331">
        <f t="shared" si="5"/>
        <v>23370</v>
      </c>
    </row>
    <row r="332" spans="1:14" x14ac:dyDescent="0.3">
      <c r="A332" t="s">
        <v>627</v>
      </c>
      <c r="B332" s="4">
        <v>46182</v>
      </c>
      <c r="C332" t="s">
        <v>357</v>
      </c>
      <c r="D332" t="s">
        <v>358</v>
      </c>
      <c r="E332" t="s">
        <v>15</v>
      </c>
      <c r="F332" t="s">
        <v>90</v>
      </c>
      <c r="G332" t="s">
        <v>163</v>
      </c>
      <c r="H332" t="s">
        <v>164</v>
      </c>
      <c r="I332" t="s">
        <v>111</v>
      </c>
      <c r="J332">
        <v>3</v>
      </c>
      <c r="K332">
        <v>252</v>
      </c>
      <c r="L332" t="s">
        <v>4</v>
      </c>
      <c r="M332" t="s">
        <v>105</v>
      </c>
      <c r="N332">
        <f t="shared" si="5"/>
        <v>756</v>
      </c>
    </row>
    <row r="333" spans="1:14" x14ac:dyDescent="0.3">
      <c r="A333" t="s">
        <v>628</v>
      </c>
      <c r="B333" s="4">
        <v>46160</v>
      </c>
      <c r="C333" t="s">
        <v>375</v>
      </c>
      <c r="D333" t="s">
        <v>156</v>
      </c>
      <c r="E333" t="s">
        <v>6</v>
      </c>
      <c r="F333" t="s">
        <v>90</v>
      </c>
      <c r="G333" t="s">
        <v>136</v>
      </c>
      <c r="H333" t="s">
        <v>137</v>
      </c>
      <c r="I333" t="s">
        <v>111</v>
      </c>
      <c r="J333">
        <v>2</v>
      </c>
      <c r="K333">
        <v>80.75</v>
      </c>
      <c r="L333" t="s">
        <v>14</v>
      </c>
      <c r="M333" t="s">
        <v>80</v>
      </c>
      <c r="N333">
        <f t="shared" si="5"/>
        <v>161.5</v>
      </c>
    </row>
    <row r="334" spans="1:14" x14ac:dyDescent="0.3">
      <c r="A334" t="s">
        <v>629</v>
      </c>
      <c r="B334" s="4">
        <v>46028</v>
      </c>
      <c r="C334" t="s">
        <v>348</v>
      </c>
      <c r="D334" t="s">
        <v>349</v>
      </c>
      <c r="E334" t="s">
        <v>19</v>
      </c>
      <c r="F334" t="s">
        <v>72</v>
      </c>
      <c r="G334" t="s">
        <v>239</v>
      </c>
      <c r="H334" t="s">
        <v>240</v>
      </c>
      <c r="I334" t="s">
        <v>63</v>
      </c>
      <c r="J334">
        <v>2</v>
      </c>
      <c r="K334">
        <v>720</v>
      </c>
      <c r="L334" t="s">
        <v>9</v>
      </c>
      <c r="M334" t="s">
        <v>58</v>
      </c>
      <c r="N334">
        <f t="shared" si="5"/>
        <v>1440</v>
      </c>
    </row>
    <row r="335" spans="1:14" x14ac:dyDescent="0.3">
      <c r="A335" t="s">
        <v>630</v>
      </c>
      <c r="B335" s="4">
        <v>46158</v>
      </c>
      <c r="C335" t="s">
        <v>273</v>
      </c>
      <c r="D335" t="s">
        <v>274</v>
      </c>
      <c r="E335" t="s">
        <v>1</v>
      </c>
      <c r="F335" t="s">
        <v>72</v>
      </c>
      <c r="G335" t="s">
        <v>67</v>
      </c>
      <c r="H335" t="s">
        <v>8</v>
      </c>
      <c r="I335" t="s">
        <v>68</v>
      </c>
      <c r="J335">
        <v>1</v>
      </c>
      <c r="K335">
        <v>1450</v>
      </c>
      <c r="L335" t="s">
        <v>17</v>
      </c>
      <c r="M335" t="s">
        <v>80</v>
      </c>
      <c r="N335">
        <f t="shared" si="5"/>
        <v>1450</v>
      </c>
    </row>
    <row r="336" spans="1:14" x14ac:dyDescent="0.3">
      <c r="A336" t="s">
        <v>631</v>
      </c>
      <c r="B336" s="4">
        <v>46092</v>
      </c>
      <c r="C336" t="s">
        <v>70</v>
      </c>
      <c r="D336" t="s">
        <v>71</v>
      </c>
      <c r="E336" t="s">
        <v>10</v>
      </c>
      <c r="F336" t="s">
        <v>72</v>
      </c>
      <c r="G336" t="s">
        <v>201</v>
      </c>
      <c r="H336" t="s">
        <v>202</v>
      </c>
      <c r="I336" t="s">
        <v>63</v>
      </c>
      <c r="J336">
        <v>4</v>
      </c>
      <c r="K336">
        <v>456</v>
      </c>
      <c r="L336" t="s">
        <v>7</v>
      </c>
      <c r="M336" t="s">
        <v>105</v>
      </c>
      <c r="N336">
        <f t="shared" si="5"/>
        <v>1824</v>
      </c>
    </row>
    <row r="337" spans="1:14" x14ac:dyDescent="0.3">
      <c r="A337" t="s">
        <v>632</v>
      </c>
      <c r="B337" s="4">
        <v>46202</v>
      </c>
      <c r="C337" t="s">
        <v>178</v>
      </c>
      <c r="D337" t="s">
        <v>179</v>
      </c>
      <c r="E337" t="s">
        <v>10</v>
      </c>
      <c r="F337" t="s">
        <v>48</v>
      </c>
      <c r="G337" t="s">
        <v>56</v>
      </c>
      <c r="H337" t="s">
        <v>3</v>
      </c>
      <c r="I337" t="s">
        <v>57</v>
      </c>
      <c r="J337">
        <v>1</v>
      </c>
      <c r="K337">
        <v>7790</v>
      </c>
      <c r="L337" t="s">
        <v>2</v>
      </c>
      <c r="M337" t="s">
        <v>58</v>
      </c>
      <c r="N337">
        <f t="shared" si="5"/>
        <v>7790</v>
      </c>
    </row>
    <row r="338" spans="1:14" x14ac:dyDescent="0.3">
      <c r="A338" t="s">
        <v>633</v>
      </c>
      <c r="B338" s="4">
        <v>46121</v>
      </c>
      <c r="C338" t="s">
        <v>126</v>
      </c>
      <c r="D338" t="s">
        <v>127</v>
      </c>
      <c r="E338" t="s">
        <v>15</v>
      </c>
      <c r="F338" t="s">
        <v>72</v>
      </c>
      <c r="G338" t="s">
        <v>109</v>
      </c>
      <c r="H338" t="s">
        <v>110</v>
      </c>
      <c r="I338" t="s">
        <v>111</v>
      </c>
      <c r="J338">
        <v>2</v>
      </c>
      <c r="K338">
        <v>320</v>
      </c>
      <c r="L338" t="s">
        <v>14</v>
      </c>
      <c r="M338" t="s">
        <v>58</v>
      </c>
      <c r="N338">
        <f t="shared" si="5"/>
        <v>640</v>
      </c>
    </row>
    <row r="339" spans="1:14" x14ac:dyDescent="0.3">
      <c r="A339" t="s">
        <v>634</v>
      </c>
      <c r="B339" s="4">
        <v>46045</v>
      </c>
      <c r="C339" t="s">
        <v>234</v>
      </c>
      <c r="D339" t="s">
        <v>235</v>
      </c>
      <c r="E339" t="s">
        <v>15</v>
      </c>
      <c r="F339" t="s">
        <v>90</v>
      </c>
      <c r="G339" t="s">
        <v>123</v>
      </c>
      <c r="H339" t="s">
        <v>124</v>
      </c>
      <c r="I339" t="s">
        <v>111</v>
      </c>
      <c r="J339">
        <v>2</v>
      </c>
      <c r="K339">
        <v>160</v>
      </c>
      <c r="L339" t="s">
        <v>2</v>
      </c>
      <c r="M339" t="s">
        <v>80</v>
      </c>
      <c r="N339">
        <f t="shared" si="5"/>
        <v>320</v>
      </c>
    </row>
    <row r="340" spans="1:14" x14ac:dyDescent="0.3">
      <c r="A340" t="s">
        <v>635</v>
      </c>
      <c r="B340" s="4">
        <v>46253</v>
      </c>
      <c r="C340" t="s">
        <v>192</v>
      </c>
      <c r="D340" t="s">
        <v>193</v>
      </c>
      <c r="E340" t="s">
        <v>18</v>
      </c>
      <c r="F340" t="s">
        <v>72</v>
      </c>
      <c r="G340" t="s">
        <v>67</v>
      </c>
      <c r="H340" t="s">
        <v>8</v>
      </c>
      <c r="I340" t="s">
        <v>68</v>
      </c>
      <c r="J340">
        <v>2</v>
      </c>
      <c r="K340">
        <v>1377.5</v>
      </c>
      <c r="L340" t="s">
        <v>9</v>
      </c>
      <c r="M340" t="s">
        <v>52</v>
      </c>
      <c r="N340">
        <f t="shared" si="5"/>
        <v>2755</v>
      </c>
    </row>
    <row r="341" spans="1:14" x14ac:dyDescent="0.3">
      <c r="A341" t="s">
        <v>636</v>
      </c>
      <c r="B341" s="4">
        <v>46093</v>
      </c>
      <c r="C341" t="s">
        <v>323</v>
      </c>
      <c r="D341" t="s">
        <v>324</v>
      </c>
      <c r="E341" t="s">
        <v>15</v>
      </c>
      <c r="F341" t="s">
        <v>72</v>
      </c>
      <c r="G341" t="s">
        <v>205</v>
      </c>
      <c r="H341" t="s">
        <v>206</v>
      </c>
      <c r="I341" t="s">
        <v>51</v>
      </c>
      <c r="J341">
        <v>1</v>
      </c>
      <c r="K341">
        <v>560.5</v>
      </c>
      <c r="L341" t="s">
        <v>2</v>
      </c>
      <c r="M341" t="s">
        <v>80</v>
      </c>
      <c r="N341">
        <f t="shared" si="5"/>
        <v>560.5</v>
      </c>
    </row>
    <row r="342" spans="1:14" x14ac:dyDescent="0.3">
      <c r="A342" t="s">
        <v>637</v>
      </c>
      <c r="B342" s="4">
        <v>46168</v>
      </c>
      <c r="C342" t="s">
        <v>323</v>
      </c>
      <c r="D342" t="s">
        <v>324</v>
      </c>
      <c r="E342" t="s">
        <v>15</v>
      </c>
      <c r="F342" t="s">
        <v>72</v>
      </c>
      <c r="G342" t="s">
        <v>49</v>
      </c>
      <c r="H342" t="s">
        <v>50</v>
      </c>
      <c r="I342" t="s">
        <v>51</v>
      </c>
      <c r="J342">
        <v>3</v>
      </c>
      <c r="K342">
        <v>95</v>
      </c>
      <c r="L342" t="s">
        <v>7</v>
      </c>
      <c r="M342" t="s">
        <v>58</v>
      </c>
      <c r="N342">
        <f t="shared" si="5"/>
        <v>285</v>
      </c>
    </row>
    <row r="343" spans="1:14" x14ac:dyDescent="0.3">
      <c r="A343" t="s">
        <v>638</v>
      </c>
      <c r="B343" s="4">
        <v>46216</v>
      </c>
      <c r="C343" t="s">
        <v>639</v>
      </c>
      <c r="D343" t="s">
        <v>21</v>
      </c>
      <c r="E343" t="s">
        <v>15</v>
      </c>
      <c r="F343" t="s">
        <v>72</v>
      </c>
      <c r="G343" t="s">
        <v>208</v>
      </c>
      <c r="H343" t="s">
        <v>22</v>
      </c>
      <c r="I343" t="s">
        <v>68</v>
      </c>
      <c r="J343">
        <v>4</v>
      </c>
      <c r="K343">
        <v>2200</v>
      </c>
      <c r="L343" t="s">
        <v>14</v>
      </c>
      <c r="M343" t="s">
        <v>80</v>
      </c>
      <c r="N343">
        <f t="shared" si="5"/>
        <v>8800</v>
      </c>
    </row>
    <row r="344" spans="1:14" x14ac:dyDescent="0.3">
      <c r="A344" t="s">
        <v>640</v>
      </c>
      <c r="B344" s="4">
        <v>46169</v>
      </c>
      <c r="C344" t="s">
        <v>457</v>
      </c>
      <c r="D344" t="s">
        <v>458</v>
      </c>
      <c r="E344" t="s">
        <v>1</v>
      </c>
      <c r="F344" t="s">
        <v>48</v>
      </c>
      <c r="G344" t="s">
        <v>56</v>
      </c>
      <c r="H344" t="s">
        <v>3</v>
      </c>
      <c r="I344" t="s">
        <v>57</v>
      </c>
      <c r="J344">
        <v>4</v>
      </c>
      <c r="K344">
        <v>8200</v>
      </c>
      <c r="L344" t="s">
        <v>2</v>
      </c>
      <c r="M344" t="s">
        <v>80</v>
      </c>
      <c r="N344">
        <f t="shared" si="5"/>
        <v>32800</v>
      </c>
    </row>
    <row r="345" spans="1:14" x14ac:dyDescent="0.3">
      <c r="A345" t="s">
        <v>641</v>
      </c>
      <c r="B345" s="4">
        <v>46226</v>
      </c>
      <c r="C345" t="s">
        <v>98</v>
      </c>
      <c r="D345" t="s">
        <v>16</v>
      </c>
      <c r="E345" t="s">
        <v>1</v>
      </c>
      <c r="F345" t="s">
        <v>48</v>
      </c>
      <c r="G345" t="s">
        <v>208</v>
      </c>
      <c r="H345" t="s">
        <v>22</v>
      </c>
      <c r="I345" t="s">
        <v>68</v>
      </c>
      <c r="J345">
        <v>10</v>
      </c>
      <c r="K345">
        <v>2090</v>
      </c>
      <c r="L345" t="s">
        <v>17</v>
      </c>
      <c r="M345" t="s">
        <v>80</v>
      </c>
      <c r="N345">
        <f t="shared" si="5"/>
        <v>20900</v>
      </c>
    </row>
    <row r="346" spans="1:14" x14ac:dyDescent="0.3">
      <c r="A346" t="s">
        <v>642</v>
      </c>
      <c r="B346" s="4">
        <v>46135</v>
      </c>
      <c r="C346" t="s">
        <v>463</v>
      </c>
      <c r="D346" t="s">
        <v>264</v>
      </c>
      <c r="E346" t="s">
        <v>6</v>
      </c>
      <c r="F346" t="s">
        <v>90</v>
      </c>
      <c r="G346" t="s">
        <v>67</v>
      </c>
      <c r="H346" t="s">
        <v>8</v>
      </c>
      <c r="I346" t="s">
        <v>68</v>
      </c>
      <c r="J346">
        <v>1</v>
      </c>
      <c r="K346">
        <v>1377.5</v>
      </c>
      <c r="L346" t="s">
        <v>7</v>
      </c>
      <c r="M346" t="s">
        <v>105</v>
      </c>
      <c r="N346">
        <f t="shared" si="5"/>
        <v>1377.5</v>
      </c>
    </row>
    <row r="347" spans="1:14" x14ac:dyDescent="0.3">
      <c r="A347" t="s">
        <v>643</v>
      </c>
      <c r="B347" s="4">
        <v>46031</v>
      </c>
      <c r="C347" t="s">
        <v>46</v>
      </c>
      <c r="D347" t="s">
        <v>47</v>
      </c>
      <c r="E347" t="s">
        <v>1</v>
      </c>
      <c r="F347" t="s">
        <v>48</v>
      </c>
      <c r="G347" t="s">
        <v>61</v>
      </c>
      <c r="H347" t="s">
        <v>62</v>
      </c>
      <c r="I347" t="s">
        <v>63</v>
      </c>
      <c r="J347">
        <v>3</v>
      </c>
      <c r="K347">
        <v>110</v>
      </c>
      <c r="L347" t="s">
        <v>4</v>
      </c>
      <c r="M347" t="s">
        <v>52</v>
      </c>
      <c r="N347">
        <f t="shared" si="5"/>
        <v>330</v>
      </c>
    </row>
    <row r="348" spans="1:14" x14ac:dyDescent="0.3">
      <c r="A348" t="s">
        <v>644</v>
      </c>
      <c r="B348" s="4">
        <v>46120</v>
      </c>
      <c r="C348" t="s">
        <v>433</v>
      </c>
      <c r="D348" t="s">
        <v>130</v>
      </c>
      <c r="E348" t="s">
        <v>10</v>
      </c>
      <c r="F348" t="s">
        <v>48</v>
      </c>
      <c r="G348" t="s">
        <v>49</v>
      </c>
      <c r="H348" t="s">
        <v>50</v>
      </c>
      <c r="I348" t="s">
        <v>51</v>
      </c>
      <c r="J348">
        <v>2</v>
      </c>
      <c r="K348">
        <v>99.75</v>
      </c>
      <c r="L348" t="s">
        <v>2</v>
      </c>
      <c r="M348" t="s">
        <v>105</v>
      </c>
      <c r="N348">
        <f t="shared" si="5"/>
        <v>199.5</v>
      </c>
    </row>
    <row r="349" spans="1:14" x14ac:dyDescent="0.3">
      <c r="A349" t="s">
        <v>645</v>
      </c>
      <c r="B349" s="4">
        <v>46228</v>
      </c>
      <c r="C349" t="s">
        <v>319</v>
      </c>
      <c r="D349" t="s">
        <v>320</v>
      </c>
      <c r="E349" t="s">
        <v>1</v>
      </c>
      <c r="F349" t="s">
        <v>48</v>
      </c>
      <c r="G349" t="s">
        <v>239</v>
      </c>
      <c r="H349" t="s">
        <v>240</v>
      </c>
      <c r="I349" t="s">
        <v>63</v>
      </c>
      <c r="J349">
        <v>1</v>
      </c>
      <c r="K349">
        <v>684</v>
      </c>
      <c r="L349" t="s">
        <v>14</v>
      </c>
      <c r="M349" t="s">
        <v>80</v>
      </c>
      <c r="N349">
        <f t="shared" si="5"/>
        <v>684</v>
      </c>
    </row>
    <row r="350" spans="1:14" x14ac:dyDescent="0.3">
      <c r="A350" t="s">
        <v>646</v>
      </c>
      <c r="B350" s="4">
        <v>46206</v>
      </c>
      <c r="C350" t="s">
        <v>451</v>
      </c>
      <c r="D350" t="s">
        <v>452</v>
      </c>
      <c r="E350" t="s">
        <v>6</v>
      </c>
      <c r="F350" t="s">
        <v>72</v>
      </c>
      <c r="G350" t="s">
        <v>109</v>
      </c>
      <c r="H350" t="s">
        <v>110</v>
      </c>
      <c r="I350" t="s">
        <v>111</v>
      </c>
      <c r="J350">
        <v>4</v>
      </c>
      <c r="K350">
        <v>320</v>
      </c>
      <c r="L350" t="s">
        <v>2</v>
      </c>
      <c r="M350" t="s">
        <v>105</v>
      </c>
      <c r="N350">
        <f t="shared" si="5"/>
        <v>1280</v>
      </c>
    </row>
    <row r="351" spans="1:14" x14ac:dyDescent="0.3">
      <c r="A351" t="s">
        <v>647</v>
      </c>
      <c r="B351" s="4">
        <v>46051</v>
      </c>
      <c r="C351" t="s">
        <v>155</v>
      </c>
      <c r="D351" t="s">
        <v>156</v>
      </c>
      <c r="E351" t="s">
        <v>18</v>
      </c>
      <c r="F351" t="s">
        <v>72</v>
      </c>
      <c r="G351" t="s">
        <v>201</v>
      </c>
      <c r="H351" t="s">
        <v>202</v>
      </c>
      <c r="I351" t="s">
        <v>63</v>
      </c>
      <c r="J351">
        <v>1</v>
      </c>
      <c r="K351">
        <v>480</v>
      </c>
      <c r="L351" t="s">
        <v>4</v>
      </c>
      <c r="M351" t="s">
        <v>80</v>
      </c>
      <c r="N351">
        <f t="shared" si="5"/>
        <v>480</v>
      </c>
    </row>
    <row r="352" spans="1:14" x14ac:dyDescent="0.3">
      <c r="A352" t="s">
        <v>648</v>
      </c>
      <c r="B352" s="4">
        <v>46050</v>
      </c>
      <c r="C352" t="s">
        <v>270</v>
      </c>
      <c r="D352" t="s">
        <v>271</v>
      </c>
      <c r="E352" t="s">
        <v>18</v>
      </c>
      <c r="F352" t="s">
        <v>48</v>
      </c>
      <c r="G352" t="s">
        <v>91</v>
      </c>
      <c r="H352" t="s">
        <v>13</v>
      </c>
      <c r="I352" t="s">
        <v>57</v>
      </c>
      <c r="J352">
        <v>1</v>
      </c>
      <c r="K352">
        <v>3100</v>
      </c>
      <c r="L352" t="s">
        <v>4</v>
      </c>
      <c r="M352" t="s">
        <v>105</v>
      </c>
      <c r="N352">
        <f t="shared" si="5"/>
        <v>3100</v>
      </c>
    </row>
    <row r="353" spans="1:14" x14ac:dyDescent="0.3">
      <c r="A353" t="s">
        <v>649</v>
      </c>
      <c r="B353" s="4">
        <v>46155</v>
      </c>
      <c r="C353" t="s">
        <v>538</v>
      </c>
      <c r="D353" t="s">
        <v>539</v>
      </c>
      <c r="E353" t="s">
        <v>15</v>
      </c>
      <c r="F353" t="s">
        <v>48</v>
      </c>
      <c r="G353" t="s">
        <v>49</v>
      </c>
      <c r="H353" t="s">
        <v>50</v>
      </c>
      <c r="I353" t="s">
        <v>51</v>
      </c>
      <c r="J353">
        <v>2</v>
      </c>
      <c r="K353">
        <v>90.25</v>
      </c>
      <c r="L353" t="s">
        <v>14</v>
      </c>
      <c r="M353" t="s">
        <v>80</v>
      </c>
      <c r="N353">
        <f t="shared" si="5"/>
        <v>180.5</v>
      </c>
    </row>
    <row r="354" spans="1:14" x14ac:dyDescent="0.3">
      <c r="A354" t="s">
        <v>650</v>
      </c>
      <c r="B354" s="4">
        <v>46176</v>
      </c>
      <c r="C354" t="s">
        <v>293</v>
      </c>
      <c r="D354" t="s">
        <v>254</v>
      </c>
      <c r="E354" t="s">
        <v>19</v>
      </c>
      <c r="F354" t="s">
        <v>90</v>
      </c>
      <c r="G354" t="s">
        <v>183</v>
      </c>
      <c r="H354" t="s">
        <v>184</v>
      </c>
      <c r="I354" t="s">
        <v>111</v>
      </c>
      <c r="J354">
        <v>3</v>
      </c>
      <c r="K354">
        <v>180</v>
      </c>
      <c r="L354" t="s">
        <v>4</v>
      </c>
      <c r="M354" t="s">
        <v>58</v>
      </c>
      <c r="N354">
        <f t="shared" si="5"/>
        <v>540</v>
      </c>
    </row>
    <row r="355" spans="1:14" x14ac:dyDescent="0.3">
      <c r="A355" t="s">
        <v>651</v>
      </c>
      <c r="B355" s="4">
        <v>46123</v>
      </c>
      <c r="C355" t="s">
        <v>416</v>
      </c>
      <c r="D355" t="s">
        <v>417</v>
      </c>
      <c r="E355" t="s">
        <v>19</v>
      </c>
      <c r="F355" t="s">
        <v>72</v>
      </c>
      <c r="G355" t="s">
        <v>95</v>
      </c>
      <c r="H355" t="s">
        <v>96</v>
      </c>
      <c r="I355" t="s">
        <v>75</v>
      </c>
      <c r="J355">
        <v>4</v>
      </c>
      <c r="K355">
        <v>682.5</v>
      </c>
      <c r="L355" t="s">
        <v>9</v>
      </c>
      <c r="M355" t="s">
        <v>52</v>
      </c>
      <c r="N355">
        <f t="shared" si="5"/>
        <v>2730</v>
      </c>
    </row>
    <row r="356" spans="1:14" x14ac:dyDescent="0.3">
      <c r="A356" t="s">
        <v>652</v>
      </c>
      <c r="B356" s="4">
        <v>46067</v>
      </c>
      <c r="C356" t="s">
        <v>394</v>
      </c>
      <c r="D356" t="s">
        <v>395</v>
      </c>
      <c r="E356" t="s">
        <v>15</v>
      </c>
      <c r="F356" t="s">
        <v>48</v>
      </c>
      <c r="G356" t="s">
        <v>109</v>
      </c>
      <c r="H356" t="s">
        <v>110</v>
      </c>
      <c r="I356" t="s">
        <v>111</v>
      </c>
      <c r="J356">
        <v>1</v>
      </c>
      <c r="K356">
        <v>320</v>
      </c>
      <c r="L356" t="s">
        <v>7</v>
      </c>
      <c r="M356" t="s">
        <v>105</v>
      </c>
      <c r="N356">
        <f t="shared" si="5"/>
        <v>320</v>
      </c>
    </row>
    <row r="357" spans="1:14" x14ac:dyDescent="0.3">
      <c r="A357" t="s">
        <v>653</v>
      </c>
      <c r="B357" s="4">
        <v>46066</v>
      </c>
      <c r="C357" t="s">
        <v>134</v>
      </c>
      <c r="D357" t="s">
        <v>135</v>
      </c>
      <c r="E357" t="s">
        <v>15</v>
      </c>
      <c r="F357" t="s">
        <v>72</v>
      </c>
      <c r="G357" t="s">
        <v>183</v>
      </c>
      <c r="H357" t="s">
        <v>184</v>
      </c>
      <c r="I357" t="s">
        <v>111</v>
      </c>
      <c r="J357">
        <v>2</v>
      </c>
      <c r="K357">
        <v>189</v>
      </c>
      <c r="L357" t="s">
        <v>7</v>
      </c>
      <c r="M357" t="s">
        <v>105</v>
      </c>
      <c r="N357">
        <f t="shared" si="5"/>
        <v>378</v>
      </c>
    </row>
    <row r="358" spans="1:14" x14ac:dyDescent="0.3">
      <c r="A358" t="s">
        <v>654</v>
      </c>
      <c r="B358" s="4">
        <v>46116</v>
      </c>
      <c r="C358" t="s">
        <v>65</v>
      </c>
      <c r="D358" t="s">
        <v>66</v>
      </c>
      <c r="E358" t="s">
        <v>1</v>
      </c>
      <c r="F358" t="s">
        <v>48</v>
      </c>
      <c r="G358" t="s">
        <v>183</v>
      </c>
      <c r="H358" t="s">
        <v>184</v>
      </c>
      <c r="I358" t="s">
        <v>111</v>
      </c>
      <c r="J358">
        <v>1</v>
      </c>
      <c r="K358">
        <v>180</v>
      </c>
      <c r="L358" t="s">
        <v>2</v>
      </c>
      <c r="M358" t="s">
        <v>105</v>
      </c>
      <c r="N358">
        <f t="shared" si="5"/>
        <v>180</v>
      </c>
    </row>
    <row r="359" spans="1:14" x14ac:dyDescent="0.3">
      <c r="A359" t="s">
        <v>655</v>
      </c>
      <c r="B359" s="4">
        <v>46141</v>
      </c>
      <c r="C359" t="s">
        <v>93</v>
      </c>
      <c r="D359" t="s">
        <v>94</v>
      </c>
      <c r="E359" t="s">
        <v>15</v>
      </c>
      <c r="F359" t="s">
        <v>48</v>
      </c>
      <c r="G359" t="s">
        <v>79</v>
      </c>
      <c r="H359" t="s">
        <v>11</v>
      </c>
      <c r="I359" t="s">
        <v>57</v>
      </c>
      <c r="J359">
        <v>1</v>
      </c>
      <c r="K359">
        <v>5200</v>
      </c>
      <c r="L359" t="s">
        <v>14</v>
      </c>
      <c r="M359" t="s">
        <v>105</v>
      </c>
      <c r="N359">
        <f t="shared" si="5"/>
        <v>5200</v>
      </c>
    </row>
    <row r="360" spans="1:14" x14ac:dyDescent="0.3">
      <c r="A360" t="s">
        <v>656</v>
      </c>
      <c r="B360" s="4">
        <v>46229</v>
      </c>
      <c r="C360" t="s">
        <v>561</v>
      </c>
      <c r="D360" t="s">
        <v>562</v>
      </c>
      <c r="E360" t="s">
        <v>15</v>
      </c>
      <c r="F360" t="s">
        <v>90</v>
      </c>
      <c r="G360" t="s">
        <v>109</v>
      </c>
      <c r="H360" t="s">
        <v>110</v>
      </c>
      <c r="I360" t="s">
        <v>111</v>
      </c>
      <c r="J360">
        <v>5</v>
      </c>
      <c r="K360">
        <v>320</v>
      </c>
      <c r="L360" t="s">
        <v>7</v>
      </c>
      <c r="M360" t="s">
        <v>105</v>
      </c>
      <c r="N360">
        <f t="shared" si="5"/>
        <v>1600</v>
      </c>
    </row>
    <row r="361" spans="1:14" x14ac:dyDescent="0.3">
      <c r="A361" t="s">
        <v>657</v>
      </c>
      <c r="B361" s="4">
        <v>46100</v>
      </c>
      <c r="C361" t="s">
        <v>70</v>
      </c>
      <c r="D361" t="s">
        <v>71</v>
      </c>
      <c r="E361" t="s">
        <v>10</v>
      </c>
      <c r="F361" t="s">
        <v>72</v>
      </c>
      <c r="G361" t="s">
        <v>208</v>
      </c>
      <c r="H361" t="s">
        <v>22</v>
      </c>
      <c r="I361" t="s">
        <v>68</v>
      </c>
      <c r="J361">
        <v>1</v>
      </c>
      <c r="K361">
        <v>2200</v>
      </c>
      <c r="L361" t="s">
        <v>4</v>
      </c>
      <c r="M361" t="s">
        <v>80</v>
      </c>
      <c r="N361">
        <f t="shared" si="5"/>
        <v>2200</v>
      </c>
    </row>
    <row r="362" spans="1:14" x14ac:dyDescent="0.3">
      <c r="A362" t="s">
        <v>658</v>
      </c>
      <c r="B362" s="4">
        <v>46105</v>
      </c>
      <c r="C362" t="s">
        <v>60</v>
      </c>
      <c r="D362" t="s">
        <v>5</v>
      </c>
      <c r="E362" t="s">
        <v>6</v>
      </c>
      <c r="F362" t="s">
        <v>48</v>
      </c>
      <c r="G362" t="s">
        <v>109</v>
      </c>
      <c r="H362" t="s">
        <v>110</v>
      </c>
      <c r="I362" t="s">
        <v>111</v>
      </c>
      <c r="J362">
        <v>1</v>
      </c>
      <c r="K362">
        <v>320</v>
      </c>
      <c r="L362" t="s">
        <v>17</v>
      </c>
      <c r="M362" t="s">
        <v>52</v>
      </c>
      <c r="N362">
        <f t="shared" si="5"/>
        <v>320</v>
      </c>
    </row>
    <row r="363" spans="1:14" x14ac:dyDescent="0.3">
      <c r="A363" t="s">
        <v>659</v>
      </c>
      <c r="B363" s="4">
        <v>46095</v>
      </c>
      <c r="C363" t="s">
        <v>107</v>
      </c>
      <c r="D363" t="s">
        <v>108</v>
      </c>
      <c r="E363" t="s">
        <v>1</v>
      </c>
      <c r="F363" t="s">
        <v>72</v>
      </c>
      <c r="G363" t="s">
        <v>109</v>
      </c>
      <c r="H363" t="s">
        <v>110</v>
      </c>
      <c r="I363" t="s">
        <v>111</v>
      </c>
      <c r="J363">
        <v>4</v>
      </c>
      <c r="K363">
        <v>320</v>
      </c>
      <c r="L363" t="s">
        <v>7</v>
      </c>
      <c r="M363" t="s">
        <v>58</v>
      </c>
      <c r="N363">
        <f t="shared" si="5"/>
        <v>1280</v>
      </c>
    </row>
    <row r="364" spans="1:14" x14ac:dyDescent="0.3">
      <c r="A364" t="s">
        <v>660</v>
      </c>
      <c r="B364" s="4">
        <v>46175</v>
      </c>
      <c r="C364" t="s">
        <v>483</v>
      </c>
      <c r="D364" t="s">
        <v>484</v>
      </c>
      <c r="E364" t="s">
        <v>15</v>
      </c>
      <c r="F364" t="s">
        <v>72</v>
      </c>
      <c r="G364" t="s">
        <v>79</v>
      </c>
      <c r="H364" t="s">
        <v>11</v>
      </c>
      <c r="I364" t="s">
        <v>57</v>
      </c>
      <c r="J364">
        <v>10</v>
      </c>
      <c r="K364">
        <v>5200</v>
      </c>
      <c r="L364" t="s">
        <v>2</v>
      </c>
      <c r="M364" t="s">
        <v>58</v>
      </c>
      <c r="N364">
        <f t="shared" si="5"/>
        <v>52000</v>
      </c>
    </row>
    <row r="365" spans="1:14" x14ac:dyDescent="0.3">
      <c r="A365" t="s">
        <v>661</v>
      </c>
      <c r="B365" s="4">
        <v>46205</v>
      </c>
      <c r="C365" t="s">
        <v>339</v>
      </c>
      <c r="D365" t="s">
        <v>340</v>
      </c>
      <c r="E365" t="s">
        <v>6</v>
      </c>
      <c r="F365" t="s">
        <v>90</v>
      </c>
      <c r="G365" t="s">
        <v>73</v>
      </c>
      <c r="H365" t="s">
        <v>74</v>
      </c>
      <c r="I365" t="s">
        <v>75</v>
      </c>
      <c r="J365">
        <v>1</v>
      </c>
      <c r="K365">
        <v>420</v>
      </c>
      <c r="L365" t="s">
        <v>2</v>
      </c>
      <c r="M365" t="s">
        <v>58</v>
      </c>
      <c r="N365">
        <f t="shared" si="5"/>
        <v>420</v>
      </c>
    </row>
    <row r="366" spans="1:14" x14ac:dyDescent="0.3">
      <c r="A366" t="s">
        <v>662</v>
      </c>
      <c r="B366" s="4">
        <v>46196</v>
      </c>
      <c r="C366" t="s">
        <v>70</v>
      </c>
      <c r="D366" t="s">
        <v>71</v>
      </c>
      <c r="E366" t="s">
        <v>10</v>
      </c>
      <c r="F366" t="s">
        <v>72</v>
      </c>
      <c r="G366" t="s">
        <v>95</v>
      </c>
      <c r="H366" t="s">
        <v>96</v>
      </c>
      <c r="I366" t="s">
        <v>75</v>
      </c>
      <c r="J366">
        <v>2</v>
      </c>
      <c r="K366">
        <v>650</v>
      </c>
      <c r="L366" t="s">
        <v>9</v>
      </c>
      <c r="M366" t="s">
        <v>80</v>
      </c>
      <c r="N366">
        <f t="shared" si="5"/>
        <v>1300</v>
      </c>
    </row>
    <row r="367" spans="1:14" x14ac:dyDescent="0.3">
      <c r="A367" t="s">
        <v>663</v>
      </c>
      <c r="B367" s="4">
        <v>46207</v>
      </c>
      <c r="C367" t="s">
        <v>77</v>
      </c>
      <c r="D367" t="s">
        <v>78</v>
      </c>
      <c r="E367" t="s">
        <v>6</v>
      </c>
      <c r="F367" t="s">
        <v>72</v>
      </c>
      <c r="G367" t="s">
        <v>208</v>
      </c>
      <c r="H367" t="s">
        <v>22</v>
      </c>
      <c r="I367" t="s">
        <v>68</v>
      </c>
      <c r="J367">
        <v>2</v>
      </c>
      <c r="K367">
        <v>2200</v>
      </c>
      <c r="L367" t="s">
        <v>14</v>
      </c>
      <c r="M367" t="s">
        <v>105</v>
      </c>
      <c r="N367">
        <f t="shared" si="5"/>
        <v>4400</v>
      </c>
    </row>
    <row r="368" spans="1:14" x14ac:dyDescent="0.3">
      <c r="A368" t="s">
        <v>664</v>
      </c>
      <c r="B368" s="4">
        <v>46173</v>
      </c>
      <c r="C368" t="s">
        <v>93</v>
      </c>
      <c r="D368" t="s">
        <v>94</v>
      </c>
      <c r="E368" t="s">
        <v>15</v>
      </c>
      <c r="F368" t="s">
        <v>48</v>
      </c>
      <c r="G368" t="s">
        <v>205</v>
      </c>
      <c r="H368" t="s">
        <v>206</v>
      </c>
      <c r="I368" t="s">
        <v>51</v>
      </c>
      <c r="J368">
        <v>2</v>
      </c>
      <c r="K368">
        <v>619.5</v>
      </c>
      <c r="L368" t="s">
        <v>2</v>
      </c>
      <c r="M368" t="s">
        <v>105</v>
      </c>
      <c r="N368">
        <f t="shared" si="5"/>
        <v>1239</v>
      </c>
    </row>
    <row r="369" spans="1:14" x14ac:dyDescent="0.3">
      <c r="A369" t="s">
        <v>665</v>
      </c>
      <c r="B369" s="4">
        <v>46226</v>
      </c>
      <c r="C369" t="s">
        <v>364</v>
      </c>
      <c r="D369" t="s">
        <v>365</v>
      </c>
      <c r="E369" t="s">
        <v>6</v>
      </c>
      <c r="F369" t="s">
        <v>90</v>
      </c>
      <c r="G369" t="s">
        <v>163</v>
      </c>
      <c r="H369" t="s">
        <v>164</v>
      </c>
      <c r="I369" t="s">
        <v>111</v>
      </c>
      <c r="J369">
        <v>8</v>
      </c>
      <c r="K369">
        <v>252</v>
      </c>
      <c r="L369" t="s">
        <v>17</v>
      </c>
      <c r="M369" t="s">
        <v>58</v>
      </c>
      <c r="N369">
        <f t="shared" si="5"/>
        <v>2016</v>
      </c>
    </row>
    <row r="370" spans="1:14" x14ac:dyDescent="0.3">
      <c r="A370" t="s">
        <v>666</v>
      </c>
      <c r="B370" s="4">
        <v>46192</v>
      </c>
      <c r="C370" t="s">
        <v>667</v>
      </c>
      <c r="D370" t="s">
        <v>668</v>
      </c>
      <c r="E370" t="s">
        <v>15</v>
      </c>
      <c r="F370" t="s">
        <v>72</v>
      </c>
      <c r="G370" t="s">
        <v>56</v>
      </c>
      <c r="H370" t="s">
        <v>3</v>
      </c>
      <c r="I370" t="s">
        <v>57</v>
      </c>
      <c r="J370">
        <v>3</v>
      </c>
      <c r="K370">
        <v>8200</v>
      </c>
      <c r="L370" t="s">
        <v>2</v>
      </c>
      <c r="M370" t="s">
        <v>58</v>
      </c>
      <c r="N370">
        <f t="shared" si="5"/>
        <v>24600</v>
      </c>
    </row>
    <row r="371" spans="1:14" x14ac:dyDescent="0.3">
      <c r="A371" t="s">
        <v>669</v>
      </c>
      <c r="B371" s="4">
        <v>46216</v>
      </c>
      <c r="C371" t="s">
        <v>192</v>
      </c>
      <c r="D371" t="s">
        <v>193</v>
      </c>
      <c r="E371" t="s">
        <v>18</v>
      </c>
      <c r="F371" t="s">
        <v>72</v>
      </c>
      <c r="G371" t="s">
        <v>109</v>
      </c>
      <c r="H371" t="s">
        <v>110</v>
      </c>
      <c r="I371" t="s">
        <v>111</v>
      </c>
      <c r="J371">
        <v>1</v>
      </c>
      <c r="K371">
        <v>320</v>
      </c>
      <c r="L371" t="s">
        <v>14</v>
      </c>
      <c r="M371" t="s">
        <v>58</v>
      </c>
      <c r="N371">
        <f t="shared" si="5"/>
        <v>320</v>
      </c>
    </row>
    <row r="372" spans="1:14" x14ac:dyDescent="0.3">
      <c r="A372" t="s">
        <v>670</v>
      </c>
      <c r="B372" s="4">
        <v>46080</v>
      </c>
      <c r="C372" t="s">
        <v>230</v>
      </c>
      <c r="D372" t="s">
        <v>231</v>
      </c>
      <c r="E372" t="s">
        <v>1</v>
      </c>
      <c r="F372" t="s">
        <v>48</v>
      </c>
      <c r="G372" t="s">
        <v>91</v>
      </c>
      <c r="H372" t="s">
        <v>13</v>
      </c>
      <c r="I372" t="s">
        <v>57</v>
      </c>
      <c r="J372">
        <v>2</v>
      </c>
      <c r="K372">
        <v>3255</v>
      </c>
      <c r="L372" t="s">
        <v>17</v>
      </c>
      <c r="M372" t="s">
        <v>52</v>
      </c>
      <c r="N372">
        <f t="shared" si="5"/>
        <v>6510</v>
      </c>
    </row>
    <row r="373" spans="1:14" x14ac:dyDescent="0.3">
      <c r="A373" t="s">
        <v>671</v>
      </c>
      <c r="B373" s="4">
        <v>46124</v>
      </c>
      <c r="C373" t="s">
        <v>380</v>
      </c>
      <c r="D373" t="s">
        <v>381</v>
      </c>
      <c r="E373" t="s">
        <v>18</v>
      </c>
      <c r="F373" t="s">
        <v>72</v>
      </c>
      <c r="G373" t="s">
        <v>201</v>
      </c>
      <c r="H373" t="s">
        <v>202</v>
      </c>
      <c r="I373" t="s">
        <v>63</v>
      </c>
      <c r="J373">
        <v>2</v>
      </c>
      <c r="K373">
        <v>504</v>
      </c>
      <c r="L373" t="s">
        <v>2</v>
      </c>
      <c r="M373" t="s">
        <v>52</v>
      </c>
      <c r="N373">
        <f t="shared" si="5"/>
        <v>1008</v>
      </c>
    </row>
    <row r="374" spans="1:14" x14ac:dyDescent="0.3">
      <c r="A374" t="s">
        <v>672</v>
      </c>
      <c r="B374" s="4">
        <v>46147</v>
      </c>
      <c r="C374" t="s">
        <v>492</v>
      </c>
      <c r="D374" t="s">
        <v>493</v>
      </c>
      <c r="E374" t="s">
        <v>6</v>
      </c>
      <c r="F374" t="s">
        <v>72</v>
      </c>
      <c r="G374" t="s">
        <v>136</v>
      </c>
      <c r="H374" t="s">
        <v>137</v>
      </c>
      <c r="I374" t="s">
        <v>111</v>
      </c>
      <c r="J374">
        <v>1</v>
      </c>
      <c r="K374">
        <v>85</v>
      </c>
      <c r="L374" t="s">
        <v>14</v>
      </c>
      <c r="M374" t="s">
        <v>58</v>
      </c>
      <c r="N374">
        <f t="shared" si="5"/>
        <v>85</v>
      </c>
    </row>
    <row r="375" spans="1:14" x14ac:dyDescent="0.3">
      <c r="A375" t="s">
        <v>673</v>
      </c>
      <c r="B375" s="4">
        <v>46113</v>
      </c>
      <c r="C375" t="s">
        <v>332</v>
      </c>
      <c r="D375" t="s">
        <v>333</v>
      </c>
      <c r="E375" t="s">
        <v>1</v>
      </c>
      <c r="F375" t="s">
        <v>72</v>
      </c>
      <c r="G375" t="s">
        <v>208</v>
      </c>
      <c r="H375" t="s">
        <v>22</v>
      </c>
      <c r="I375" t="s">
        <v>68</v>
      </c>
      <c r="J375">
        <v>1</v>
      </c>
      <c r="K375">
        <v>2200</v>
      </c>
      <c r="L375" t="s">
        <v>9</v>
      </c>
      <c r="M375" t="s">
        <v>105</v>
      </c>
      <c r="N375">
        <f t="shared" si="5"/>
        <v>2200</v>
      </c>
    </row>
    <row r="376" spans="1:14" x14ac:dyDescent="0.3">
      <c r="A376" t="s">
        <v>674</v>
      </c>
      <c r="B376" s="4">
        <v>46048</v>
      </c>
      <c r="C376" t="s">
        <v>492</v>
      </c>
      <c r="D376" t="s">
        <v>493</v>
      </c>
      <c r="E376" t="s">
        <v>6</v>
      </c>
      <c r="F376" t="s">
        <v>72</v>
      </c>
      <c r="G376" t="s">
        <v>205</v>
      </c>
      <c r="H376" t="s">
        <v>206</v>
      </c>
      <c r="I376" t="s">
        <v>51</v>
      </c>
      <c r="J376">
        <v>2</v>
      </c>
      <c r="K376">
        <v>590</v>
      </c>
      <c r="L376" t="s">
        <v>7</v>
      </c>
      <c r="M376" t="s">
        <v>58</v>
      </c>
      <c r="N376">
        <f t="shared" si="5"/>
        <v>1180</v>
      </c>
    </row>
    <row r="377" spans="1:14" x14ac:dyDescent="0.3">
      <c r="A377" t="s">
        <v>675</v>
      </c>
      <c r="B377" s="4">
        <v>46231</v>
      </c>
      <c r="C377" t="s">
        <v>514</v>
      </c>
      <c r="D377" t="s">
        <v>515</v>
      </c>
      <c r="E377" t="s">
        <v>18</v>
      </c>
      <c r="F377" t="s">
        <v>72</v>
      </c>
      <c r="G377" t="s">
        <v>163</v>
      </c>
      <c r="H377" t="s">
        <v>164</v>
      </c>
      <c r="I377" t="s">
        <v>111</v>
      </c>
      <c r="J377">
        <v>3</v>
      </c>
      <c r="K377">
        <v>228</v>
      </c>
      <c r="L377" t="s">
        <v>7</v>
      </c>
      <c r="M377" t="s">
        <v>58</v>
      </c>
      <c r="N377">
        <f t="shared" si="5"/>
        <v>684</v>
      </c>
    </row>
    <row r="378" spans="1:14" x14ac:dyDescent="0.3">
      <c r="A378" t="s">
        <v>676</v>
      </c>
      <c r="B378" s="4">
        <v>46213</v>
      </c>
      <c r="C378" t="s">
        <v>589</v>
      </c>
      <c r="D378" t="s">
        <v>677</v>
      </c>
      <c r="E378" t="s">
        <v>18</v>
      </c>
      <c r="F378" t="s">
        <v>48</v>
      </c>
      <c r="G378" t="s">
        <v>123</v>
      </c>
      <c r="H378" t="s">
        <v>124</v>
      </c>
      <c r="I378" t="s">
        <v>111</v>
      </c>
      <c r="J378">
        <v>1</v>
      </c>
      <c r="K378">
        <v>160</v>
      </c>
      <c r="L378" t="s">
        <v>17</v>
      </c>
      <c r="M378" t="s">
        <v>52</v>
      </c>
      <c r="N378">
        <f t="shared" si="5"/>
        <v>160</v>
      </c>
    </row>
    <row r="379" spans="1:14" x14ac:dyDescent="0.3">
      <c r="A379" t="s">
        <v>678</v>
      </c>
      <c r="B379" s="4">
        <v>46133</v>
      </c>
      <c r="C379" t="s">
        <v>561</v>
      </c>
      <c r="D379" t="s">
        <v>562</v>
      </c>
      <c r="E379" t="s">
        <v>15</v>
      </c>
      <c r="F379" t="s">
        <v>90</v>
      </c>
      <c r="G379" t="s">
        <v>49</v>
      </c>
      <c r="H379" t="s">
        <v>50</v>
      </c>
      <c r="I379" t="s">
        <v>51</v>
      </c>
      <c r="J379">
        <v>8</v>
      </c>
      <c r="K379">
        <v>95</v>
      </c>
      <c r="L379" t="s">
        <v>4</v>
      </c>
      <c r="M379" t="s">
        <v>52</v>
      </c>
      <c r="N379">
        <f t="shared" si="5"/>
        <v>760</v>
      </c>
    </row>
    <row r="380" spans="1:14" x14ac:dyDescent="0.3">
      <c r="A380" t="s">
        <v>679</v>
      </c>
      <c r="B380" s="4">
        <v>46125</v>
      </c>
      <c r="C380" t="s">
        <v>573</v>
      </c>
      <c r="D380" t="s">
        <v>20</v>
      </c>
      <c r="E380" t="s">
        <v>10</v>
      </c>
      <c r="F380" t="s">
        <v>48</v>
      </c>
      <c r="G380" t="s">
        <v>95</v>
      </c>
      <c r="H380" t="s">
        <v>96</v>
      </c>
      <c r="I380" t="s">
        <v>75</v>
      </c>
      <c r="J380">
        <v>1</v>
      </c>
      <c r="K380">
        <v>682.5</v>
      </c>
      <c r="L380" t="s">
        <v>9</v>
      </c>
      <c r="M380" t="s">
        <v>105</v>
      </c>
      <c r="N380">
        <f t="shared" si="5"/>
        <v>682.5</v>
      </c>
    </row>
    <row r="381" spans="1:14" x14ac:dyDescent="0.3">
      <c r="A381" t="s">
        <v>680</v>
      </c>
      <c r="B381" s="4">
        <v>46123</v>
      </c>
      <c r="C381" t="s">
        <v>369</v>
      </c>
      <c r="D381" t="s">
        <v>370</v>
      </c>
      <c r="E381" t="s">
        <v>15</v>
      </c>
      <c r="F381" t="s">
        <v>90</v>
      </c>
      <c r="G381" t="s">
        <v>95</v>
      </c>
      <c r="H381" t="s">
        <v>96</v>
      </c>
      <c r="I381" t="s">
        <v>75</v>
      </c>
      <c r="J381">
        <v>1</v>
      </c>
      <c r="K381">
        <v>650</v>
      </c>
      <c r="L381" t="s">
        <v>9</v>
      </c>
      <c r="M381" t="s">
        <v>80</v>
      </c>
      <c r="N381">
        <f t="shared" si="5"/>
        <v>650</v>
      </c>
    </row>
    <row r="382" spans="1:14" x14ac:dyDescent="0.3">
      <c r="A382" t="s">
        <v>681</v>
      </c>
      <c r="B382" s="4">
        <v>46171</v>
      </c>
      <c r="C382" t="s">
        <v>143</v>
      </c>
      <c r="D382" t="s">
        <v>144</v>
      </c>
      <c r="E382" t="s">
        <v>15</v>
      </c>
      <c r="F382" t="s">
        <v>48</v>
      </c>
      <c r="G382" t="s">
        <v>183</v>
      </c>
      <c r="H382" t="s">
        <v>184</v>
      </c>
      <c r="I382" t="s">
        <v>111</v>
      </c>
      <c r="J382">
        <v>1</v>
      </c>
      <c r="K382">
        <v>189</v>
      </c>
      <c r="L382" t="s">
        <v>9</v>
      </c>
      <c r="M382" t="s">
        <v>80</v>
      </c>
      <c r="N382">
        <f t="shared" si="5"/>
        <v>189</v>
      </c>
    </row>
    <row r="383" spans="1:14" x14ac:dyDescent="0.3">
      <c r="A383" t="s">
        <v>682</v>
      </c>
      <c r="B383" s="4">
        <v>46141</v>
      </c>
      <c r="C383" t="s">
        <v>107</v>
      </c>
      <c r="D383" t="s">
        <v>108</v>
      </c>
      <c r="E383" t="s">
        <v>1</v>
      </c>
      <c r="F383" t="s">
        <v>72</v>
      </c>
      <c r="G383" t="s">
        <v>79</v>
      </c>
      <c r="H383" t="s">
        <v>11</v>
      </c>
      <c r="I383" t="s">
        <v>57</v>
      </c>
      <c r="J383">
        <v>1</v>
      </c>
      <c r="K383">
        <v>5200</v>
      </c>
      <c r="L383" t="s">
        <v>17</v>
      </c>
      <c r="M383" t="s">
        <v>80</v>
      </c>
      <c r="N383">
        <f t="shared" si="5"/>
        <v>5200</v>
      </c>
    </row>
    <row r="384" spans="1:14" x14ac:dyDescent="0.3">
      <c r="A384" t="s">
        <v>683</v>
      </c>
      <c r="B384" s="4">
        <v>46180</v>
      </c>
      <c r="C384" t="s">
        <v>93</v>
      </c>
      <c r="D384" t="s">
        <v>94</v>
      </c>
      <c r="E384" t="s">
        <v>15</v>
      </c>
      <c r="F384" t="s">
        <v>48</v>
      </c>
      <c r="G384" t="s">
        <v>109</v>
      </c>
      <c r="H384" t="s">
        <v>110</v>
      </c>
      <c r="I384" t="s">
        <v>111</v>
      </c>
      <c r="J384">
        <v>2</v>
      </c>
      <c r="K384">
        <v>304</v>
      </c>
      <c r="L384" t="s">
        <v>7</v>
      </c>
      <c r="M384" t="s">
        <v>80</v>
      </c>
      <c r="N384">
        <f t="shared" si="5"/>
        <v>608</v>
      </c>
    </row>
    <row r="385" spans="1:14" x14ac:dyDescent="0.3">
      <c r="A385" t="s">
        <v>684</v>
      </c>
      <c r="B385" s="4">
        <v>46182</v>
      </c>
      <c r="C385" t="s">
        <v>198</v>
      </c>
      <c r="D385" t="s">
        <v>199</v>
      </c>
      <c r="E385" t="s">
        <v>6</v>
      </c>
      <c r="F385" t="s">
        <v>72</v>
      </c>
      <c r="G385" t="s">
        <v>73</v>
      </c>
      <c r="H385" t="s">
        <v>74</v>
      </c>
      <c r="I385" t="s">
        <v>75</v>
      </c>
      <c r="J385">
        <v>1</v>
      </c>
      <c r="K385">
        <v>420</v>
      </c>
      <c r="L385" t="s">
        <v>17</v>
      </c>
      <c r="M385" t="s">
        <v>58</v>
      </c>
      <c r="N385">
        <f t="shared" si="5"/>
        <v>420</v>
      </c>
    </row>
    <row r="386" spans="1:14" x14ac:dyDescent="0.3">
      <c r="A386" t="s">
        <v>685</v>
      </c>
      <c r="B386" s="4">
        <v>46104</v>
      </c>
      <c r="C386" t="s">
        <v>589</v>
      </c>
      <c r="D386" t="s">
        <v>358</v>
      </c>
      <c r="E386" t="s">
        <v>18</v>
      </c>
      <c r="F386" t="s">
        <v>48</v>
      </c>
      <c r="G386" t="s">
        <v>208</v>
      </c>
      <c r="H386" t="s">
        <v>22</v>
      </c>
      <c r="I386" t="s">
        <v>68</v>
      </c>
      <c r="J386">
        <v>1</v>
      </c>
      <c r="K386">
        <v>2200</v>
      </c>
      <c r="L386" t="s">
        <v>14</v>
      </c>
      <c r="M386" t="s">
        <v>52</v>
      </c>
      <c r="N386">
        <f t="shared" si="5"/>
        <v>2200</v>
      </c>
    </row>
    <row r="387" spans="1:14" x14ac:dyDescent="0.3">
      <c r="A387" t="s">
        <v>686</v>
      </c>
      <c r="B387" s="4">
        <v>46154</v>
      </c>
      <c r="C387" t="s">
        <v>357</v>
      </c>
      <c r="D387" t="s">
        <v>358</v>
      </c>
      <c r="E387" t="s">
        <v>15</v>
      </c>
      <c r="F387" t="s">
        <v>90</v>
      </c>
      <c r="G387" t="s">
        <v>208</v>
      </c>
      <c r="H387" t="s">
        <v>22</v>
      </c>
      <c r="I387" t="s">
        <v>68</v>
      </c>
      <c r="J387">
        <v>2</v>
      </c>
      <c r="K387">
        <v>2310</v>
      </c>
      <c r="L387" t="s">
        <v>9</v>
      </c>
      <c r="M387" t="s">
        <v>105</v>
      </c>
      <c r="N387">
        <f t="shared" ref="N387:N450" si="6">J387*K387</f>
        <v>4620</v>
      </c>
    </row>
    <row r="388" spans="1:14" x14ac:dyDescent="0.3">
      <c r="A388" t="s">
        <v>687</v>
      </c>
      <c r="B388" s="4">
        <v>46148</v>
      </c>
      <c r="C388" t="s">
        <v>223</v>
      </c>
      <c r="D388" t="s">
        <v>224</v>
      </c>
      <c r="E388" t="s">
        <v>18</v>
      </c>
      <c r="F388" t="s">
        <v>72</v>
      </c>
      <c r="G388" t="s">
        <v>123</v>
      </c>
      <c r="H388" t="s">
        <v>124</v>
      </c>
      <c r="I388" t="s">
        <v>111</v>
      </c>
      <c r="J388">
        <v>3</v>
      </c>
      <c r="K388">
        <v>160</v>
      </c>
      <c r="L388" t="s">
        <v>17</v>
      </c>
      <c r="M388" t="s">
        <v>52</v>
      </c>
      <c r="N388">
        <f t="shared" si="6"/>
        <v>480</v>
      </c>
    </row>
    <row r="389" spans="1:14" x14ac:dyDescent="0.3">
      <c r="A389" t="s">
        <v>688</v>
      </c>
      <c r="B389" s="4">
        <v>46059</v>
      </c>
      <c r="C389" t="s">
        <v>170</v>
      </c>
      <c r="D389" t="s">
        <v>171</v>
      </c>
      <c r="E389" t="s">
        <v>15</v>
      </c>
      <c r="F389" t="s">
        <v>72</v>
      </c>
      <c r="G389" t="s">
        <v>239</v>
      </c>
      <c r="H389" t="s">
        <v>240</v>
      </c>
      <c r="I389" t="s">
        <v>63</v>
      </c>
      <c r="J389">
        <v>1</v>
      </c>
      <c r="K389">
        <v>720</v>
      </c>
      <c r="L389" t="s">
        <v>17</v>
      </c>
      <c r="M389" t="s">
        <v>58</v>
      </c>
      <c r="N389">
        <f t="shared" si="6"/>
        <v>720</v>
      </c>
    </row>
    <row r="390" spans="1:14" x14ac:dyDescent="0.3">
      <c r="A390" t="s">
        <v>689</v>
      </c>
      <c r="B390" s="4">
        <v>46026</v>
      </c>
      <c r="C390" t="s">
        <v>295</v>
      </c>
      <c r="D390" t="s">
        <v>296</v>
      </c>
      <c r="E390" t="s">
        <v>19</v>
      </c>
      <c r="F390" t="s">
        <v>72</v>
      </c>
      <c r="G390" t="s">
        <v>201</v>
      </c>
      <c r="H390" t="s">
        <v>202</v>
      </c>
      <c r="I390" t="s">
        <v>63</v>
      </c>
      <c r="J390">
        <v>2</v>
      </c>
      <c r="K390">
        <v>480</v>
      </c>
      <c r="L390" t="s">
        <v>4</v>
      </c>
      <c r="M390" t="s">
        <v>105</v>
      </c>
      <c r="N390">
        <f t="shared" si="6"/>
        <v>960</v>
      </c>
    </row>
    <row r="391" spans="1:14" x14ac:dyDescent="0.3">
      <c r="A391" t="s">
        <v>690</v>
      </c>
      <c r="B391" s="4">
        <v>46130</v>
      </c>
      <c r="C391" t="s">
        <v>281</v>
      </c>
      <c r="D391" t="s">
        <v>282</v>
      </c>
      <c r="E391" t="s">
        <v>10</v>
      </c>
      <c r="F391" t="s">
        <v>48</v>
      </c>
      <c r="G391" t="s">
        <v>205</v>
      </c>
      <c r="H391" t="s">
        <v>206</v>
      </c>
      <c r="I391" t="s">
        <v>51</v>
      </c>
      <c r="J391">
        <v>3</v>
      </c>
      <c r="K391">
        <v>590</v>
      </c>
      <c r="L391" t="s">
        <v>4</v>
      </c>
      <c r="M391" t="s">
        <v>52</v>
      </c>
      <c r="N391">
        <f t="shared" si="6"/>
        <v>1770</v>
      </c>
    </row>
    <row r="392" spans="1:14" x14ac:dyDescent="0.3">
      <c r="A392" t="s">
        <v>691</v>
      </c>
      <c r="B392" s="4">
        <v>46227</v>
      </c>
      <c r="C392" t="s">
        <v>319</v>
      </c>
      <c r="D392" t="s">
        <v>320</v>
      </c>
      <c r="E392" t="s">
        <v>1</v>
      </c>
      <c r="F392" t="s">
        <v>48</v>
      </c>
      <c r="G392" t="s">
        <v>136</v>
      </c>
      <c r="H392" t="s">
        <v>137</v>
      </c>
      <c r="I392" t="s">
        <v>111</v>
      </c>
      <c r="J392">
        <v>4</v>
      </c>
      <c r="K392">
        <v>85</v>
      </c>
      <c r="L392" t="s">
        <v>14</v>
      </c>
      <c r="M392" t="s">
        <v>80</v>
      </c>
      <c r="N392">
        <f t="shared" si="6"/>
        <v>340</v>
      </c>
    </row>
    <row r="393" spans="1:14" x14ac:dyDescent="0.3">
      <c r="A393" t="s">
        <v>692</v>
      </c>
      <c r="B393" s="4">
        <v>46097</v>
      </c>
      <c r="C393" t="s">
        <v>186</v>
      </c>
      <c r="D393" t="s">
        <v>187</v>
      </c>
      <c r="E393" t="s">
        <v>6</v>
      </c>
      <c r="F393" t="s">
        <v>72</v>
      </c>
      <c r="G393" t="s">
        <v>49</v>
      </c>
      <c r="H393" t="s">
        <v>50</v>
      </c>
      <c r="I393" t="s">
        <v>51</v>
      </c>
      <c r="J393">
        <v>1</v>
      </c>
      <c r="K393">
        <v>95</v>
      </c>
      <c r="L393" t="s">
        <v>17</v>
      </c>
      <c r="M393" t="s">
        <v>105</v>
      </c>
      <c r="N393">
        <f t="shared" si="6"/>
        <v>95</v>
      </c>
    </row>
    <row r="394" spans="1:14" x14ac:dyDescent="0.3">
      <c r="A394" t="s">
        <v>693</v>
      </c>
      <c r="B394" s="4">
        <v>46052</v>
      </c>
      <c r="C394" t="s">
        <v>293</v>
      </c>
      <c r="D394" t="s">
        <v>254</v>
      </c>
      <c r="E394" t="s">
        <v>19</v>
      </c>
      <c r="F394" t="s">
        <v>90</v>
      </c>
      <c r="G394" t="s">
        <v>84</v>
      </c>
      <c r="H394" t="s">
        <v>85</v>
      </c>
      <c r="I394" t="s">
        <v>51</v>
      </c>
      <c r="J394">
        <v>2</v>
      </c>
      <c r="K394">
        <v>760</v>
      </c>
      <c r="L394" t="s">
        <v>17</v>
      </c>
      <c r="M394" t="s">
        <v>80</v>
      </c>
      <c r="N394">
        <f t="shared" si="6"/>
        <v>1520</v>
      </c>
    </row>
    <row r="395" spans="1:14" x14ac:dyDescent="0.3">
      <c r="A395" t="s">
        <v>694</v>
      </c>
      <c r="B395" s="4">
        <v>46218</v>
      </c>
      <c r="C395" t="s">
        <v>364</v>
      </c>
      <c r="D395" t="s">
        <v>365</v>
      </c>
      <c r="E395" t="s">
        <v>6</v>
      </c>
      <c r="F395" t="s">
        <v>90</v>
      </c>
      <c r="G395" t="s">
        <v>163</v>
      </c>
      <c r="H395" t="s">
        <v>164</v>
      </c>
      <c r="I395" t="s">
        <v>111</v>
      </c>
      <c r="J395">
        <v>3</v>
      </c>
      <c r="K395">
        <v>252</v>
      </c>
      <c r="L395" t="s">
        <v>9</v>
      </c>
      <c r="M395" t="s">
        <v>105</v>
      </c>
      <c r="N395">
        <f t="shared" si="6"/>
        <v>756</v>
      </c>
    </row>
    <row r="396" spans="1:14" x14ac:dyDescent="0.3">
      <c r="A396" t="s">
        <v>695</v>
      </c>
      <c r="B396" s="4">
        <v>46100</v>
      </c>
      <c r="C396" t="s">
        <v>667</v>
      </c>
      <c r="D396" t="s">
        <v>668</v>
      </c>
      <c r="E396" t="s">
        <v>15</v>
      </c>
      <c r="F396" t="s">
        <v>72</v>
      </c>
      <c r="G396" t="s">
        <v>56</v>
      </c>
      <c r="H396" t="s">
        <v>3</v>
      </c>
      <c r="I396" t="s">
        <v>57</v>
      </c>
      <c r="J396">
        <v>5</v>
      </c>
      <c r="K396">
        <v>7790</v>
      </c>
      <c r="L396" t="s">
        <v>4</v>
      </c>
      <c r="M396" t="s">
        <v>80</v>
      </c>
      <c r="N396">
        <f t="shared" si="6"/>
        <v>38950</v>
      </c>
    </row>
    <row r="397" spans="1:14" x14ac:dyDescent="0.3">
      <c r="A397" t="s">
        <v>696</v>
      </c>
      <c r="B397" s="4">
        <v>46136</v>
      </c>
      <c r="C397" t="s">
        <v>492</v>
      </c>
      <c r="D397" t="s">
        <v>493</v>
      </c>
      <c r="E397" t="s">
        <v>6</v>
      </c>
      <c r="F397" t="s">
        <v>72</v>
      </c>
      <c r="G397" t="s">
        <v>183</v>
      </c>
      <c r="H397" t="s">
        <v>184</v>
      </c>
      <c r="I397" t="s">
        <v>111</v>
      </c>
      <c r="J397">
        <v>5</v>
      </c>
      <c r="K397">
        <v>171</v>
      </c>
      <c r="L397" t="s">
        <v>9</v>
      </c>
      <c r="M397" t="s">
        <v>52</v>
      </c>
      <c r="N397">
        <f t="shared" si="6"/>
        <v>855</v>
      </c>
    </row>
    <row r="398" spans="1:14" x14ac:dyDescent="0.3">
      <c r="A398" t="s">
        <v>697</v>
      </c>
      <c r="B398" s="4">
        <v>46244</v>
      </c>
      <c r="C398" t="s">
        <v>438</v>
      </c>
      <c r="D398" t="s">
        <v>439</v>
      </c>
      <c r="E398" t="s">
        <v>18</v>
      </c>
      <c r="F398" t="s">
        <v>72</v>
      </c>
      <c r="G398" t="s">
        <v>201</v>
      </c>
      <c r="H398" t="s">
        <v>202</v>
      </c>
      <c r="I398" t="s">
        <v>63</v>
      </c>
      <c r="J398">
        <v>3</v>
      </c>
      <c r="K398">
        <v>480</v>
      </c>
      <c r="L398" t="s">
        <v>9</v>
      </c>
      <c r="M398" t="s">
        <v>52</v>
      </c>
      <c r="N398">
        <f t="shared" si="6"/>
        <v>1440</v>
      </c>
    </row>
    <row r="399" spans="1:14" x14ac:dyDescent="0.3">
      <c r="A399" t="s">
        <v>698</v>
      </c>
      <c r="B399" s="4">
        <v>46232</v>
      </c>
      <c r="C399" t="s">
        <v>65</v>
      </c>
      <c r="D399" t="s">
        <v>66</v>
      </c>
      <c r="E399" t="s">
        <v>1</v>
      </c>
      <c r="F399" t="s">
        <v>48</v>
      </c>
      <c r="G399" t="s">
        <v>79</v>
      </c>
      <c r="H399" t="s">
        <v>11</v>
      </c>
      <c r="I399" t="s">
        <v>57</v>
      </c>
      <c r="J399">
        <v>1</v>
      </c>
      <c r="K399">
        <v>4940</v>
      </c>
      <c r="L399" t="s">
        <v>17</v>
      </c>
      <c r="M399" t="s">
        <v>80</v>
      </c>
      <c r="N399">
        <f t="shared" si="6"/>
        <v>4940</v>
      </c>
    </row>
    <row r="400" spans="1:14" x14ac:dyDescent="0.3">
      <c r="A400" t="s">
        <v>699</v>
      </c>
      <c r="B400" s="4">
        <v>46176</v>
      </c>
      <c r="C400" t="s">
        <v>348</v>
      </c>
      <c r="D400" t="s">
        <v>349</v>
      </c>
      <c r="E400" t="s">
        <v>19</v>
      </c>
      <c r="F400" t="s">
        <v>72</v>
      </c>
      <c r="G400" t="s">
        <v>91</v>
      </c>
      <c r="H400" t="s">
        <v>13</v>
      </c>
      <c r="I400" t="s">
        <v>57</v>
      </c>
      <c r="J400">
        <v>2</v>
      </c>
      <c r="K400">
        <v>3100</v>
      </c>
      <c r="L400" t="s">
        <v>2</v>
      </c>
      <c r="M400" t="s">
        <v>80</v>
      </c>
      <c r="N400">
        <f t="shared" si="6"/>
        <v>6200</v>
      </c>
    </row>
    <row r="401" spans="1:14" x14ac:dyDescent="0.3">
      <c r="A401" t="s">
        <v>700</v>
      </c>
      <c r="B401" s="4">
        <v>46243</v>
      </c>
      <c r="C401" t="s">
        <v>416</v>
      </c>
      <c r="D401" t="s">
        <v>417</v>
      </c>
      <c r="E401" t="s">
        <v>19</v>
      </c>
      <c r="F401" t="s">
        <v>72</v>
      </c>
      <c r="G401" t="s">
        <v>91</v>
      </c>
      <c r="H401" t="s">
        <v>13</v>
      </c>
      <c r="I401" t="s">
        <v>57</v>
      </c>
      <c r="J401">
        <v>2</v>
      </c>
      <c r="K401">
        <v>2945</v>
      </c>
      <c r="L401" t="s">
        <v>9</v>
      </c>
      <c r="M401" t="s">
        <v>105</v>
      </c>
      <c r="N401">
        <f t="shared" si="6"/>
        <v>5890</v>
      </c>
    </row>
    <row r="402" spans="1:14" x14ac:dyDescent="0.3">
      <c r="A402" t="s">
        <v>701</v>
      </c>
      <c r="B402" s="4">
        <v>46094</v>
      </c>
      <c r="C402" t="s">
        <v>273</v>
      </c>
      <c r="D402" t="s">
        <v>274</v>
      </c>
      <c r="E402" t="s">
        <v>1</v>
      </c>
      <c r="F402" t="s">
        <v>72</v>
      </c>
      <c r="G402" t="s">
        <v>163</v>
      </c>
      <c r="H402" t="s">
        <v>164</v>
      </c>
      <c r="I402" t="s">
        <v>111</v>
      </c>
      <c r="J402">
        <v>5</v>
      </c>
      <c r="K402">
        <v>240</v>
      </c>
      <c r="L402" t="s">
        <v>2</v>
      </c>
      <c r="M402" t="s">
        <v>52</v>
      </c>
      <c r="N402">
        <f t="shared" si="6"/>
        <v>1200</v>
      </c>
    </row>
    <row r="403" spans="1:14" x14ac:dyDescent="0.3">
      <c r="A403" t="s">
        <v>702</v>
      </c>
      <c r="B403" s="4">
        <v>46206</v>
      </c>
      <c r="C403" t="s">
        <v>244</v>
      </c>
      <c r="D403" t="s">
        <v>245</v>
      </c>
      <c r="E403" t="s">
        <v>18</v>
      </c>
      <c r="F403" t="s">
        <v>90</v>
      </c>
      <c r="G403" t="s">
        <v>208</v>
      </c>
      <c r="H403" t="s">
        <v>22</v>
      </c>
      <c r="I403" t="s">
        <v>68</v>
      </c>
      <c r="J403">
        <v>1</v>
      </c>
      <c r="K403">
        <v>2200</v>
      </c>
      <c r="L403" t="s">
        <v>2</v>
      </c>
      <c r="M403" t="s">
        <v>105</v>
      </c>
      <c r="N403">
        <f t="shared" si="6"/>
        <v>2200</v>
      </c>
    </row>
    <row r="404" spans="1:14" x14ac:dyDescent="0.3">
      <c r="A404" t="s">
        <v>703</v>
      </c>
      <c r="B404" s="4">
        <v>46171</v>
      </c>
      <c r="C404" t="s">
        <v>170</v>
      </c>
      <c r="D404" t="s">
        <v>171</v>
      </c>
      <c r="E404" t="s">
        <v>15</v>
      </c>
      <c r="F404" t="s">
        <v>72</v>
      </c>
      <c r="G404" t="s">
        <v>208</v>
      </c>
      <c r="H404" t="s">
        <v>22</v>
      </c>
      <c r="I404" t="s">
        <v>68</v>
      </c>
      <c r="J404">
        <v>3</v>
      </c>
      <c r="K404">
        <v>2200</v>
      </c>
      <c r="L404" t="s">
        <v>4</v>
      </c>
      <c r="M404" t="s">
        <v>105</v>
      </c>
      <c r="N404">
        <f t="shared" si="6"/>
        <v>6600</v>
      </c>
    </row>
    <row r="405" spans="1:14" x14ac:dyDescent="0.3">
      <c r="A405" t="s">
        <v>704</v>
      </c>
      <c r="B405" s="4">
        <v>46127</v>
      </c>
      <c r="C405" t="s">
        <v>260</v>
      </c>
      <c r="D405" t="s">
        <v>261</v>
      </c>
      <c r="E405" t="s">
        <v>1</v>
      </c>
      <c r="F405" t="s">
        <v>48</v>
      </c>
      <c r="G405" t="s">
        <v>183</v>
      </c>
      <c r="H405" t="s">
        <v>184</v>
      </c>
      <c r="I405" t="s">
        <v>111</v>
      </c>
      <c r="J405">
        <v>2</v>
      </c>
      <c r="K405">
        <v>180</v>
      </c>
      <c r="L405" t="s">
        <v>2</v>
      </c>
      <c r="M405" t="s">
        <v>80</v>
      </c>
      <c r="N405">
        <f t="shared" si="6"/>
        <v>360</v>
      </c>
    </row>
    <row r="406" spans="1:14" x14ac:dyDescent="0.3">
      <c r="A406" t="s">
        <v>705</v>
      </c>
      <c r="B406" s="4">
        <v>46107</v>
      </c>
      <c r="C406" t="s">
        <v>178</v>
      </c>
      <c r="D406" t="s">
        <v>179</v>
      </c>
      <c r="E406" t="s">
        <v>10</v>
      </c>
      <c r="F406" t="s">
        <v>48</v>
      </c>
      <c r="G406" t="s">
        <v>205</v>
      </c>
      <c r="H406" t="s">
        <v>206</v>
      </c>
      <c r="I406" t="s">
        <v>51</v>
      </c>
      <c r="J406">
        <v>2</v>
      </c>
      <c r="K406">
        <v>560.5</v>
      </c>
      <c r="L406" t="s">
        <v>2</v>
      </c>
      <c r="M406" t="s">
        <v>105</v>
      </c>
      <c r="N406">
        <f t="shared" si="6"/>
        <v>1121</v>
      </c>
    </row>
    <row r="407" spans="1:14" x14ac:dyDescent="0.3">
      <c r="A407" t="s">
        <v>706</v>
      </c>
      <c r="B407" s="4">
        <v>46241</v>
      </c>
      <c r="C407" t="s">
        <v>335</v>
      </c>
      <c r="D407" t="s">
        <v>336</v>
      </c>
      <c r="E407" t="s">
        <v>6</v>
      </c>
      <c r="F407" t="s">
        <v>90</v>
      </c>
      <c r="G407" t="s">
        <v>201</v>
      </c>
      <c r="H407" t="s">
        <v>202</v>
      </c>
      <c r="I407" t="s">
        <v>63</v>
      </c>
      <c r="J407">
        <v>1</v>
      </c>
      <c r="K407">
        <v>504</v>
      </c>
      <c r="L407" t="s">
        <v>4</v>
      </c>
      <c r="M407" t="s">
        <v>52</v>
      </c>
      <c r="N407">
        <f t="shared" si="6"/>
        <v>504</v>
      </c>
    </row>
    <row r="408" spans="1:14" x14ac:dyDescent="0.3">
      <c r="A408" t="s">
        <v>707</v>
      </c>
      <c r="B408" s="4">
        <v>46150</v>
      </c>
      <c r="C408" t="s">
        <v>223</v>
      </c>
      <c r="D408" t="s">
        <v>224</v>
      </c>
      <c r="E408" t="s">
        <v>18</v>
      </c>
      <c r="F408" t="s">
        <v>72</v>
      </c>
      <c r="G408" t="s">
        <v>79</v>
      </c>
      <c r="H408" t="s">
        <v>11</v>
      </c>
      <c r="I408" t="s">
        <v>57</v>
      </c>
      <c r="J408">
        <v>1</v>
      </c>
      <c r="K408">
        <v>5200</v>
      </c>
      <c r="L408" t="s">
        <v>7</v>
      </c>
      <c r="M408" t="s">
        <v>52</v>
      </c>
      <c r="N408">
        <f t="shared" si="6"/>
        <v>5200</v>
      </c>
    </row>
    <row r="409" spans="1:14" x14ac:dyDescent="0.3">
      <c r="A409" t="s">
        <v>708</v>
      </c>
      <c r="B409" s="4">
        <v>46225</v>
      </c>
      <c r="C409" t="s">
        <v>192</v>
      </c>
      <c r="D409" t="s">
        <v>193</v>
      </c>
      <c r="E409" t="s">
        <v>18</v>
      </c>
      <c r="F409" t="s">
        <v>72</v>
      </c>
      <c r="G409" t="s">
        <v>205</v>
      </c>
      <c r="H409" t="s">
        <v>206</v>
      </c>
      <c r="I409" t="s">
        <v>51</v>
      </c>
      <c r="J409">
        <v>2</v>
      </c>
      <c r="K409">
        <v>560.5</v>
      </c>
      <c r="L409" t="s">
        <v>14</v>
      </c>
      <c r="M409" t="s">
        <v>58</v>
      </c>
      <c r="N409">
        <f t="shared" si="6"/>
        <v>1121</v>
      </c>
    </row>
    <row r="410" spans="1:14" x14ac:dyDescent="0.3">
      <c r="A410" t="s">
        <v>709</v>
      </c>
      <c r="B410" s="4">
        <v>46028</v>
      </c>
      <c r="C410" t="s">
        <v>310</v>
      </c>
      <c r="D410" t="s">
        <v>311</v>
      </c>
      <c r="E410" t="s">
        <v>19</v>
      </c>
      <c r="F410" t="s">
        <v>72</v>
      </c>
      <c r="G410" t="s">
        <v>73</v>
      </c>
      <c r="H410" t="s">
        <v>74</v>
      </c>
      <c r="I410" t="s">
        <v>75</v>
      </c>
      <c r="J410">
        <v>1</v>
      </c>
      <c r="K410">
        <v>420</v>
      </c>
      <c r="L410" t="s">
        <v>4</v>
      </c>
      <c r="M410" t="s">
        <v>105</v>
      </c>
      <c r="N410">
        <f t="shared" si="6"/>
        <v>420</v>
      </c>
    </row>
    <row r="411" spans="1:14" x14ac:dyDescent="0.3">
      <c r="A411" t="s">
        <v>710</v>
      </c>
      <c r="B411" s="4">
        <v>46075</v>
      </c>
      <c r="C411" t="s">
        <v>253</v>
      </c>
      <c r="D411" t="s">
        <v>254</v>
      </c>
      <c r="E411" t="s">
        <v>6</v>
      </c>
      <c r="F411" t="s">
        <v>72</v>
      </c>
      <c r="G411" t="s">
        <v>95</v>
      </c>
      <c r="H411" t="s">
        <v>96</v>
      </c>
      <c r="I411" t="s">
        <v>75</v>
      </c>
      <c r="J411">
        <v>10</v>
      </c>
      <c r="K411">
        <v>650</v>
      </c>
      <c r="L411" t="s">
        <v>2</v>
      </c>
      <c r="M411" t="s">
        <v>80</v>
      </c>
      <c r="N411">
        <f t="shared" si="6"/>
        <v>6500</v>
      </c>
    </row>
    <row r="412" spans="1:14" x14ac:dyDescent="0.3">
      <c r="A412" t="s">
        <v>711</v>
      </c>
      <c r="B412" s="4">
        <v>46047</v>
      </c>
      <c r="C412" t="s">
        <v>457</v>
      </c>
      <c r="D412" t="s">
        <v>458</v>
      </c>
      <c r="E412" t="s">
        <v>1</v>
      </c>
      <c r="F412" t="s">
        <v>48</v>
      </c>
      <c r="G412" t="s">
        <v>91</v>
      </c>
      <c r="H412" t="s">
        <v>13</v>
      </c>
      <c r="I412" t="s">
        <v>57</v>
      </c>
      <c r="J412">
        <v>3</v>
      </c>
      <c r="K412">
        <v>3100</v>
      </c>
      <c r="L412" t="s">
        <v>14</v>
      </c>
      <c r="M412" t="s">
        <v>80</v>
      </c>
      <c r="N412">
        <f t="shared" si="6"/>
        <v>9300</v>
      </c>
    </row>
    <row r="413" spans="1:14" x14ac:dyDescent="0.3">
      <c r="A413" t="s">
        <v>712</v>
      </c>
      <c r="B413" s="4">
        <v>46037</v>
      </c>
      <c r="C413" t="s">
        <v>114</v>
      </c>
      <c r="D413" t="s">
        <v>115</v>
      </c>
      <c r="E413" t="s">
        <v>18</v>
      </c>
      <c r="F413" t="s">
        <v>72</v>
      </c>
      <c r="G413" t="s">
        <v>123</v>
      </c>
      <c r="H413" t="s">
        <v>124</v>
      </c>
      <c r="I413" t="s">
        <v>111</v>
      </c>
      <c r="J413">
        <v>2</v>
      </c>
      <c r="K413">
        <v>160</v>
      </c>
      <c r="L413" t="s">
        <v>2</v>
      </c>
      <c r="M413" t="s">
        <v>52</v>
      </c>
      <c r="N413">
        <f t="shared" si="6"/>
        <v>320</v>
      </c>
    </row>
    <row r="414" spans="1:14" x14ac:dyDescent="0.3">
      <c r="A414" t="s">
        <v>713</v>
      </c>
      <c r="B414" s="4">
        <v>46204</v>
      </c>
      <c r="C414" t="s">
        <v>223</v>
      </c>
      <c r="D414" t="s">
        <v>224</v>
      </c>
      <c r="E414" t="s">
        <v>18</v>
      </c>
      <c r="F414" t="s">
        <v>72</v>
      </c>
      <c r="G414" t="s">
        <v>183</v>
      </c>
      <c r="H414" t="s">
        <v>184</v>
      </c>
      <c r="I414" t="s">
        <v>111</v>
      </c>
      <c r="J414">
        <v>1</v>
      </c>
      <c r="K414">
        <v>180</v>
      </c>
      <c r="L414" t="s">
        <v>4</v>
      </c>
      <c r="M414" t="s">
        <v>58</v>
      </c>
      <c r="N414">
        <f t="shared" si="6"/>
        <v>180</v>
      </c>
    </row>
    <row r="415" spans="1:14" x14ac:dyDescent="0.3">
      <c r="A415" t="s">
        <v>714</v>
      </c>
      <c r="B415" s="4">
        <v>46156</v>
      </c>
      <c r="C415" t="s">
        <v>373</v>
      </c>
      <c r="D415" t="s">
        <v>264</v>
      </c>
      <c r="E415" t="s">
        <v>15</v>
      </c>
      <c r="F415" t="s">
        <v>48</v>
      </c>
      <c r="G415" t="s">
        <v>56</v>
      </c>
      <c r="H415" t="s">
        <v>3</v>
      </c>
      <c r="I415" t="s">
        <v>57</v>
      </c>
      <c r="J415">
        <v>3</v>
      </c>
      <c r="K415">
        <v>7790</v>
      </c>
      <c r="L415" t="s">
        <v>14</v>
      </c>
      <c r="M415" t="s">
        <v>80</v>
      </c>
      <c r="N415">
        <f t="shared" si="6"/>
        <v>23370</v>
      </c>
    </row>
    <row r="416" spans="1:14" x14ac:dyDescent="0.3">
      <c r="A416" t="s">
        <v>715</v>
      </c>
      <c r="B416" s="4">
        <v>46244</v>
      </c>
      <c r="C416" t="s">
        <v>70</v>
      </c>
      <c r="D416" t="s">
        <v>71</v>
      </c>
      <c r="E416" t="s">
        <v>10</v>
      </c>
      <c r="F416" t="s">
        <v>72</v>
      </c>
      <c r="G416" t="s">
        <v>67</v>
      </c>
      <c r="H416" t="s">
        <v>8</v>
      </c>
      <c r="I416" t="s">
        <v>68</v>
      </c>
      <c r="J416">
        <v>2</v>
      </c>
      <c r="K416">
        <v>1450</v>
      </c>
      <c r="L416" t="s">
        <v>4</v>
      </c>
      <c r="M416" t="s">
        <v>58</v>
      </c>
      <c r="N416">
        <f t="shared" si="6"/>
        <v>2900</v>
      </c>
    </row>
    <row r="417" spans="1:14" x14ac:dyDescent="0.3">
      <c r="A417" t="s">
        <v>716</v>
      </c>
      <c r="B417" s="4">
        <v>46046</v>
      </c>
      <c r="C417" t="s">
        <v>256</v>
      </c>
      <c r="D417" t="s">
        <v>199</v>
      </c>
      <c r="E417" t="s">
        <v>19</v>
      </c>
      <c r="F417" t="s">
        <v>72</v>
      </c>
      <c r="G417" t="s">
        <v>109</v>
      </c>
      <c r="H417" t="s">
        <v>110</v>
      </c>
      <c r="I417" t="s">
        <v>111</v>
      </c>
      <c r="J417">
        <v>3</v>
      </c>
      <c r="K417">
        <v>304</v>
      </c>
      <c r="L417" t="s">
        <v>14</v>
      </c>
      <c r="M417" t="s">
        <v>80</v>
      </c>
      <c r="N417">
        <f t="shared" si="6"/>
        <v>912</v>
      </c>
    </row>
    <row r="418" spans="1:14" x14ac:dyDescent="0.3">
      <c r="A418" t="s">
        <v>717</v>
      </c>
      <c r="B418" s="4">
        <v>46059</v>
      </c>
      <c r="C418" t="s">
        <v>357</v>
      </c>
      <c r="D418" t="s">
        <v>358</v>
      </c>
      <c r="E418" t="s">
        <v>15</v>
      </c>
      <c r="F418" t="s">
        <v>90</v>
      </c>
      <c r="G418" t="s">
        <v>239</v>
      </c>
      <c r="H418" t="s">
        <v>240</v>
      </c>
      <c r="I418" t="s">
        <v>63</v>
      </c>
      <c r="J418">
        <v>2</v>
      </c>
      <c r="K418">
        <v>720</v>
      </c>
      <c r="L418" t="s">
        <v>2</v>
      </c>
      <c r="M418" t="s">
        <v>52</v>
      </c>
      <c r="N418">
        <f t="shared" si="6"/>
        <v>1440</v>
      </c>
    </row>
    <row r="419" spans="1:14" x14ac:dyDescent="0.3">
      <c r="A419" t="s">
        <v>718</v>
      </c>
      <c r="B419" s="4">
        <v>46168</v>
      </c>
      <c r="C419" t="s">
        <v>385</v>
      </c>
      <c r="D419" t="s">
        <v>386</v>
      </c>
      <c r="E419" t="s">
        <v>15</v>
      </c>
      <c r="F419" t="s">
        <v>48</v>
      </c>
      <c r="G419" t="s">
        <v>84</v>
      </c>
      <c r="H419" t="s">
        <v>85</v>
      </c>
      <c r="I419" t="s">
        <v>51</v>
      </c>
      <c r="J419">
        <v>1</v>
      </c>
      <c r="K419">
        <v>760</v>
      </c>
      <c r="L419" t="s">
        <v>4</v>
      </c>
      <c r="M419" t="s">
        <v>80</v>
      </c>
      <c r="N419">
        <f t="shared" si="6"/>
        <v>760</v>
      </c>
    </row>
    <row r="420" spans="1:14" x14ac:dyDescent="0.3">
      <c r="A420" t="s">
        <v>719</v>
      </c>
      <c r="B420" s="4">
        <v>46184</v>
      </c>
      <c r="C420" t="s">
        <v>218</v>
      </c>
      <c r="D420" t="s">
        <v>219</v>
      </c>
      <c r="E420" t="s">
        <v>18</v>
      </c>
      <c r="F420" t="s">
        <v>72</v>
      </c>
      <c r="G420" t="s">
        <v>79</v>
      </c>
      <c r="H420" t="s">
        <v>11</v>
      </c>
      <c r="I420" t="s">
        <v>57</v>
      </c>
      <c r="J420">
        <v>3</v>
      </c>
      <c r="K420">
        <v>5200</v>
      </c>
      <c r="L420" t="s">
        <v>17</v>
      </c>
      <c r="M420" t="s">
        <v>105</v>
      </c>
      <c r="N420">
        <f t="shared" si="6"/>
        <v>15600</v>
      </c>
    </row>
    <row r="421" spans="1:14" x14ac:dyDescent="0.3">
      <c r="A421" t="s">
        <v>720</v>
      </c>
      <c r="B421" s="4">
        <v>46046</v>
      </c>
      <c r="C421" t="s">
        <v>295</v>
      </c>
      <c r="D421" t="s">
        <v>296</v>
      </c>
      <c r="E421" t="s">
        <v>19</v>
      </c>
      <c r="F421" t="s">
        <v>72</v>
      </c>
      <c r="G421" t="s">
        <v>79</v>
      </c>
      <c r="H421" t="s">
        <v>11</v>
      </c>
      <c r="I421" t="s">
        <v>57</v>
      </c>
      <c r="J421">
        <v>5</v>
      </c>
      <c r="K421">
        <v>5200</v>
      </c>
      <c r="L421" t="s">
        <v>14</v>
      </c>
      <c r="M421" t="s">
        <v>105</v>
      </c>
      <c r="N421">
        <f t="shared" si="6"/>
        <v>26000</v>
      </c>
    </row>
    <row r="422" spans="1:14" x14ac:dyDescent="0.3">
      <c r="A422" t="s">
        <v>721</v>
      </c>
      <c r="B422" s="4">
        <v>46104</v>
      </c>
      <c r="C422" t="s">
        <v>492</v>
      </c>
      <c r="D422" t="s">
        <v>493</v>
      </c>
      <c r="E422" t="s">
        <v>6</v>
      </c>
      <c r="F422" t="s">
        <v>72</v>
      </c>
      <c r="G422" t="s">
        <v>95</v>
      </c>
      <c r="H422" t="s">
        <v>96</v>
      </c>
      <c r="I422" t="s">
        <v>75</v>
      </c>
      <c r="J422">
        <v>4</v>
      </c>
      <c r="K422">
        <v>650</v>
      </c>
      <c r="L422" t="s">
        <v>7</v>
      </c>
      <c r="M422" t="s">
        <v>58</v>
      </c>
      <c r="N422">
        <f t="shared" si="6"/>
        <v>2600</v>
      </c>
    </row>
    <row r="423" spans="1:14" x14ac:dyDescent="0.3">
      <c r="A423" t="s">
        <v>722</v>
      </c>
      <c r="B423" s="4">
        <v>46177</v>
      </c>
      <c r="C423" t="s">
        <v>244</v>
      </c>
      <c r="D423" t="s">
        <v>245</v>
      </c>
      <c r="E423" t="s">
        <v>18</v>
      </c>
      <c r="F423" t="s">
        <v>90</v>
      </c>
      <c r="G423" t="s">
        <v>49</v>
      </c>
      <c r="H423" t="s">
        <v>50</v>
      </c>
      <c r="I423" t="s">
        <v>51</v>
      </c>
      <c r="J423">
        <v>3</v>
      </c>
      <c r="K423">
        <v>99.75</v>
      </c>
      <c r="L423" t="s">
        <v>7</v>
      </c>
      <c r="M423" t="s">
        <v>58</v>
      </c>
      <c r="N423">
        <f t="shared" si="6"/>
        <v>299.25</v>
      </c>
    </row>
    <row r="424" spans="1:14" x14ac:dyDescent="0.3">
      <c r="A424" t="s">
        <v>723</v>
      </c>
      <c r="B424" s="4">
        <v>46076</v>
      </c>
      <c r="C424" t="s">
        <v>198</v>
      </c>
      <c r="D424" t="s">
        <v>199</v>
      </c>
      <c r="E424" t="s">
        <v>6</v>
      </c>
      <c r="F424" t="s">
        <v>72</v>
      </c>
      <c r="G424" t="s">
        <v>239</v>
      </c>
      <c r="H424" t="s">
        <v>240</v>
      </c>
      <c r="I424" t="s">
        <v>63</v>
      </c>
      <c r="J424">
        <v>2</v>
      </c>
      <c r="K424">
        <v>756</v>
      </c>
      <c r="L424" t="s">
        <v>9</v>
      </c>
      <c r="M424" t="s">
        <v>105</v>
      </c>
      <c r="N424">
        <f t="shared" si="6"/>
        <v>1512</v>
      </c>
    </row>
    <row r="425" spans="1:14" x14ac:dyDescent="0.3">
      <c r="A425" t="s">
        <v>724</v>
      </c>
      <c r="B425" s="4">
        <v>46224</v>
      </c>
      <c r="C425" t="s">
        <v>416</v>
      </c>
      <c r="D425" t="s">
        <v>417</v>
      </c>
      <c r="E425" t="s">
        <v>19</v>
      </c>
      <c r="F425" t="s">
        <v>72</v>
      </c>
      <c r="G425" t="s">
        <v>163</v>
      </c>
      <c r="H425" t="s">
        <v>164</v>
      </c>
      <c r="I425" t="s">
        <v>111</v>
      </c>
      <c r="J425">
        <v>5</v>
      </c>
      <c r="K425">
        <v>240</v>
      </c>
      <c r="L425" t="s">
        <v>4</v>
      </c>
      <c r="M425" t="s">
        <v>105</v>
      </c>
      <c r="N425">
        <f t="shared" si="6"/>
        <v>1200</v>
      </c>
    </row>
    <row r="426" spans="1:14" x14ac:dyDescent="0.3">
      <c r="A426" t="s">
        <v>725</v>
      </c>
      <c r="B426" s="4">
        <v>46151</v>
      </c>
      <c r="C426" t="s">
        <v>89</v>
      </c>
      <c r="D426" t="s">
        <v>12</v>
      </c>
      <c r="E426" t="s">
        <v>1</v>
      </c>
      <c r="F426" t="s">
        <v>90</v>
      </c>
      <c r="G426" t="s">
        <v>56</v>
      </c>
      <c r="H426" t="s">
        <v>3</v>
      </c>
      <c r="I426" t="s">
        <v>57</v>
      </c>
      <c r="J426">
        <v>3</v>
      </c>
      <c r="K426">
        <v>7790</v>
      </c>
      <c r="L426" t="s">
        <v>17</v>
      </c>
      <c r="M426" t="s">
        <v>58</v>
      </c>
      <c r="N426">
        <f t="shared" si="6"/>
        <v>23370</v>
      </c>
    </row>
    <row r="427" spans="1:14" x14ac:dyDescent="0.3">
      <c r="A427" t="s">
        <v>726</v>
      </c>
      <c r="B427" s="4">
        <v>46057</v>
      </c>
      <c r="C427" t="s">
        <v>102</v>
      </c>
      <c r="D427" t="s">
        <v>103</v>
      </c>
      <c r="E427" t="s">
        <v>10</v>
      </c>
      <c r="F427" t="s">
        <v>90</v>
      </c>
      <c r="G427" t="s">
        <v>61</v>
      </c>
      <c r="H427" t="s">
        <v>62</v>
      </c>
      <c r="I427" t="s">
        <v>63</v>
      </c>
      <c r="J427">
        <v>2</v>
      </c>
      <c r="K427">
        <v>115.5</v>
      </c>
      <c r="L427" t="s">
        <v>4</v>
      </c>
      <c r="M427" t="s">
        <v>80</v>
      </c>
      <c r="N427">
        <f t="shared" si="6"/>
        <v>231</v>
      </c>
    </row>
    <row r="428" spans="1:14" x14ac:dyDescent="0.3">
      <c r="A428" t="s">
        <v>727</v>
      </c>
      <c r="B428" s="4">
        <v>46219</v>
      </c>
      <c r="C428" t="s">
        <v>364</v>
      </c>
      <c r="D428" t="s">
        <v>365</v>
      </c>
      <c r="E428" t="s">
        <v>6</v>
      </c>
      <c r="F428" t="s">
        <v>90</v>
      </c>
      <c r="G428" t="s">
        <v>123</v>
      </c>
      <c r="H428" t="s">
        <v>124</v>
      </c>
      <c r="I428" t="s">
        <v>111</v>
      </c>
      <c r="J428">
        <v>2</v>
      </c>
      <c r="K428">
        <v>152</v>
      </c>
      <c r="L428" t="s">
        <v>14</v>
      </c>
      <c r="M428" t="s">
        <v>58</v>
      </c>
      <c r="N428">
        <f t="shared" si="6"/>
        <v>304</v>
      </c>
    </row>
    <row r="429" spans="1:14" x14ac:dyDescent="0.3">
      <c r="A429" t="s">
        <v>728</v>
      </c>
      <c r="B429" s="4">
        <v>46079</v>
      </c>
      <c r="C429" t="s">
        <v>305</v>
      </c>
      <c r="D429" t="s">
        <v>306</v>
      </c>
      <c r="E429" t="s">
        <v>10</v>
      </c>
      <c r="F429" t="s">
        <v>90</v>
      </c>
      <c r="G429" t="s">
        <v>91</v>
      </c>
      <c r="H429" t="s">
        <v>13</v>
      </c>
      <c r="I429" t="s">
        <v>57</v>
      </c>
      <c r="J429">
        <v>1</v>
      </c>
      <c r="K429">
        <v>2945</v>
      </c>
      <c r="L429" t="s">
        <v>4</v>
      </c>
      <c r="M429" t="s">
        <v>80</v>
      </c>
      <c r="N429">
        <f t="shared" si="6"/>
        <v>2945</v>
      </c>
    </row>
    <row r="430" spans="1:14" x14ac:dyDescent="0.3">
      <c r="A430" t="s">
        <v>729</v>
      </c>
      <c r="B430" s="4">
        <v>46220</v>
      </c>
      <c r="C430" t="s">
        <v>310</v>
      </c>
      <c r="D430" t="s">
        <v>311</v>
      </c>
      <c r="E430" t="s">
        <v>19</v>
      </c>
      <c r="F430" t="s">
        <v>72</v>
      </c>
      <c r="G430" t="s">
        <v>84</v>
      </c>
      <c r="H430" t="s">
        <v>85</v>
      </c>
      <c r="I430" t="s">
        <v>51</v>
      </c>
      <c r="J430">
        <v>2</v>
      </c>
      <c r="K430">
        <v>760</v>
      </c>
      <c r="L430" t="s">
        <v>14</v>
      </c>
      <c r="M430" t="s">
        <v>52</v>
      </c>
      <c r="N430">
        <f t="shared" si="6"/>
        <v>1520</v>
      </c>
    </row>
    <row r="431" spans="1:14" x14ac:dyDescent="0.3">
      <c r="A431" t="s">
        <v>730</v>
      </c>
      <c r="B431" s="4">
        <v>46103</v>
      </c>
      <c r="C431" t="s">
        <v>152</v>
      </c>
      <c r="D431" t="s">
        <v>153</v>
      </c>
      <c r="E431" t="s">
        <v>15</v>
      </c>
      <c r="F431" t="s">
        <v>48</v>
      </c>
      <c r="G431" t="s">
        <v>183</v>
      </c>
      <c r="H431" t="s">
        <v>184</v>
      </c>
      <c r="I431" t="s">
        <v>111</v>
      </c>
      <c r="J431">
        <v>1</v>
      </c>
      <c r="K431">
        <v>180</v>
      </c>
      <c r="L431" t="s">
        <v>9</v>
      </c>
      <c r="M431" t="s">
        <v>80</v>
      </c>
      <c r="N431">
        <f t="shared" si="6"/>
        <v>180</v>
      </c>
    </row>
    <row r="432" spans="1:14" x14ac:dyDescent="0.3">
      <c r="A432" t="s">
        <v>731</v>
      </c>
      <c r="B432" s="4">
        <v>46103</v>
      </c>
      <c r="C432" t="s">
        <v>196</v>
      </c>
      <c r="D432" t="s">
        <v>21</v>
      </c>
      <c r="E432" t="s">
        <v>18</v>
      </c>
      <c r="F432" t="s">
        <v>48</v>
      </c>
      <c r="G432" t="s">
        <v>183</v>
      </c>
      <c r="H432" t="s">
        <v>184</v>
      </c>
      <c r="I432" t="s">
        <v>111</v>
      </c>
      <c r="J432">
        <v>3</v>
      </c>
      <c r="K432">
        <v>189</v>
      </c>
      <c r="L432" t="s">
        <v>14</v>
      </c>
      <c r="M432" t="s">
        <v>52</v>
      </c>
      <c r="N432">
        <f t="shared" si="6"/>
        <v>567</v>
      </c>
    </row>
    <row r="433" spans="1:14" x14ac:dyDescent="0.3">
      <c r="A433" t="s">
        <v>732</v>
      </c>
      <c r="B433" s="4">
        <v>46053</v>
      </c>
      <c r="C433" t="s">
        <v>126</v>
      </c>
      <c r="D433" t="s">
        <v>127</v>
      </c>
      <c r="E433" t="s">
        <v>15</v>
      </c>
      <c r="F433" t="s">
        <v>72</v>
      </c>
      <c r="G433" t="s">
        <v>95</v>
      </c>
      <c r="H433" t="s">
        <v>96</v>
      </c>
      <c r="I433" t="s">
        <v>75</v>
      </c>
      <c r="J433">
        <v>2</v>
      </c>
      <c r="K433">
        <v>682.5</v>
      </c>
      <c r="L433" t="s">
        <v>14</v>
      </c>
      <c r="M433" t="s">
        <v>80</v>
      </c>
      <c r="N433">
        <f t="shared" si="6"/>
        <v>1365</v>
      </c>
    </row>
    <row r="434" spans="1:14" x14ac:dyDescent="0.3">
      <c r="A434" t="s">
        <v>733</v>
      </c>
      <c r="B434" s="4">
        <v>46054</v>
      </c>
      <c r="C434" t="s">
        <v>114</v>
      </c>
      <c r="D434" t="s">
        <v>115</v>
      </c>
      <c r="E434" t="s">
        <v>18</v>
      </c>
      <c r="F434" t="s">
        <v>72</v>
      </c>
      <c r="G434" t="s">
        <v>123</v>
      </c>
      <c r="H434" t="s">
        <v>124</v>
      </c>
      <c r="I434" t="s">
        <v>111</v>
      </c>
      <c r="J434">
        <v>1</v>
      </c>
      <c r="K434">
        <v>160</v>
      </c>
      <c r="L434" t="s">
        <v>2</v>
      </c>
      <c r="M434" t="s">
        <v>58</v>
      </c>
      <c r="N434">
        <f t="shared" si="6"/>
        <v>160</v>
      </c>
    </row>
    <row r="435" spans="1:14" x14ac:dyDescent="0.3">
      <c r="A435" t="s">
        <v>734</v>
      </c>
      <c r="B435" s="4">
        <v>46112</v>
      </c>
      <c r="C435" t="s">
        <v>457</v>
      </c>
      <c r="D435" t="s">
        <v>458</v>
      </c>
      <c r="E435" t="s">
        <v>1</v>
      </c>
      <c r="F435" t="s">
        <v>48</v>
      </c>
      <c r="G435" t="s">
        <v>205</v>
      </c>
      <c r="H435" t="s">
        <v>206</v>
      </c>
      <c r="I435" t="s">
        <v>51</v>
      </c>
      <c r="J435">
        <v>2</v>
      </c>
      <c r="K435">
        <v>590</v>
      </c>
      <c r="L435" t="s">
        <v>9</v>
      </c>
      <c r="M435" t="s">
        <v>80</v>
      </c>
      <c r="N435">
        <f t="shared" si="6"/>
        <v>1180</v>
      </c>
    </row>
    <row r="436" spans="1:14" x14ac:dyDescent="0.3">
      <c r="A436" t="s">
        <v>735</v>
      </c>
      <c r="B436" s="4">
        <v>46211</v>
      </c>
      <c r="C436" t="s">
        <v>373</v>
      </c>
      <c r="D436" t="s">
        <v>264</v>
      </c>
      <c r="E436" t="s">
        <v>15</v>
      </c>
      <c r="F436" t="s">
        <v>48</v>
      </c>
      <c r="G436" t="s">
        <v>91</v>
      </c>
      <c r="H436" t="s">
        <v>13</v>
      </c>
      <c r="I436" t="s">
        <v>57</v>
      </c>
      <c r="J436">
        <v>5</v>
      </c>
      <c r="K436">
        <v>2945</v>
      </c>
      <c r="L436" t="s">
        <v>7</v>
      </c>
      <c r="M436" t="s">
        <v>105</v>
      </c>
      <c r="N436">
        <f t="shared" si="6"/>
        <v>14725</v>
      </c>
    </row>
    <row r="437" spans="1:14" x14ac:dyDescent="0.3">
      <c r="A437" t="s">
        <v>736</v>
      </c>
      <c r="B437" s="4">
        <v>46040</v>
      </c>
      <c r="C437" t="s">
        <v>411</v>
      </c>
      <c r="D437" t="s">
        <v>324</v>
      </c>
      <c r="E437" t="s">
        <v>19</v>
      </c>
      <c r="F437" t="s">
        <v>48</v>
      </c>
      <c r="G437" t="s">
        <v>84</v>
      </c>
      <c r="H437" t="s">
        <v>85</v>
      </c>
      <c r="I437" t="s">
        <v>51</v>
      </c>
      <c r="J437">
        <v>1</v>
      </c>
      <c r="K437">
        <v>798</v>
      </c>
      <c r="L437" t="s">
        <v>2</v>
      </c>
      <c r="M437" t="s">
        <v>58</v>
      </c>
      <c r="N437">
        <f t="shared" si="6"/>
        <v>798</v>
      </c>
    </row>
    <row r="438" spans="1:14" x14ac:dyDescent="0.3">
      <c r="A438" t="s">
        <v>737</v>
      </c>
      <c r="B438" s="4">
        <v>46154</v>
      </c>
      <c r="C438" t="s">
        <v>215</v>
      </c>
      <c r="D438" t="s">
        <v>12</v>
      </c>
      <c r="E438" t="s">
        <v>10</v>
      </c>
      <c r="F438" t="s">
        <v>72</v>
      </c>
      <c r="G438" t="s">
        <v>73</v>
      </c>
      <c r="H438" t="s">
        <v>74</v>
      </c>
      <c r="I438" t="s">
        <v>75</v>
      </c>
      <c r="J438">
        <v>2</v>
      </c>
      <c r="K438">
        <v>420</v>
      </c>
      <c r="L438" t="s">
        <v>17</v>
      </c>
      <c r="M438" t="s">
        <v>52</v>
      </c>
      <c r="N438">
        <f t="shared" si="6"/>
        <v>840</v>
      </c>
    </row>
    <row r="439" spans="1:14" x14ac:dyDescent="0.3">
      <c r="A439" t="s">
        <v>738</v>
      </c>
      <c r="B439" s="4">
        <v>46089</v>
      </c>
      <c r="C439" t="s">
        <v>357</v>
      </c>
      <c r="D439" t="s">
        <v>358</v>
      </c>
      <c r="E439" t="s">
        <v>15</v>
      </c>
      <c r="F439" t="s">
        <v>90</v>
      </c>
      <c r="G439" t="s">
        <v>123</v>
      </c>
      <c r="H439" t="s">
        <v>124</v>
      </c>
      <c r="I439" t="s">
        <v>111</v>
      </c>
      <c r="J439">
        <v>4</v>
      </c>
      <c r="K439">
        <v>168</v>
      </c>
      <c r="L439" t="s">
        <v>2</v>
      </c>
      <c r="M439" t="s">
        <v>58</v>
      </c>
      <c r="N439">
        <f t="shared" si="6"/>
        <v>672</v>
      </c>
    </row>
    <row r="440" spans="1:14" x14ac:dyDescent="0.3">
      <c r="A440" t="s">
        <v>739</v>
      </c>
      <c r="B440" s="4">
        <v>46024</v>
      </c>
      <c r="C440" t="s">
        <v>256</v>
      </c>
      <c r="D440" t="s">
        <v>199</v>
      </c>
      <c r="E440" t="s">
        <v>19</v>
      </c>
      <c r="F440" t="s">
        <v>72</v>
      </c>
      <c r="G440" t="s">
        <v>84</v>
      </c>
      <c r="H440" t="s">
        <v>85</v>
      </c>
      <c r="I440" t="s">
        <v>51</v>
      </c>
      <c r="J440">
        <v>1</v>
      </c>
      <c r="K440">
        <v>722</v>
      </c>
      <c r="L440" t="s">
        <v>9</v>
      </c>
      <c r="M440" t="s">
        <v>58</v>
      </c>
      <c r="N440">
        <f t="shared" si="6"/>
        <v>722</v>
      </c>
    </row>
    <row r="441" spans="1:14" x14ac:dyDescent="0.3">
      <c r="A441" t="s">
        <v>740</v>
      </c>
      <c r="B441" s="4">
        <v>46122</v>
      </c>
      <c r="C441" t="s">
        <v>741</v>
      </c>
      <c r="D441" t="s">
        <v>159</v>
      </c>
      <c r="E441" t="s">
        <v>10</v>
      </c>
      <c r="F441" t="s">
        <v>48</v>
      </c>
      <c r="G441" t="s">
        <v>201</v>
      </c>
      <c r="H441" t="s">
        <v>202</v>
      </c>
      <c r="I441" t="s">
        <v>63</v>
      </c>
      <c r="J441">
        <v>6</v>
      </c>
      <c r="K441">
        <v>480</v>
      </c>
      <c r="L441" t="s">
        <v>14</v>
      </c>
      <c r="M441" t="s">
        <v>105</v>
      </c>
      <c r="N441">
        <f t="shared" si="6"/>
        <v>2880</v>
      </c>
    </row>
    <row r="442" spans="1:14" x14ac:dyDescent="0.3">
      <c r="A442" t="s">
        <v>742</v>
      </c>
      <c r="B442" s="4">
        <v>46087</v>
      </c>
      <c r="C442" t="s">
        <v>186</v>
      </c>
      <c r="D442" t="s">
        <v>187</v>
      </c>
      <c r="E442" t="s">
        <v>6</v>
      </c>
      <c r="F442" t="s">
        <v>72</v>
      </c>
      <c r="G442" t="s">
        <v>61</v>
      </c>
      <c r="H442" t="s">
        <v>62</v>
      </c>
      <c r="I442" t="s">
        <v>63</v>
      </c>
      <c r="J442">
        <v>2</v>
      </c>
      <c r="K442">
        <v>110</v>
      </c>
      <c r="L442" t="s">
        <v>7</v>
      </c>
      <c r="M442" t="s">
        <v>58</v>
      </c>
      <c r="N442">
        <f t="shared" si="6"/>
        <v>220</v>
      </c>
    </row>
    <row r="443" spans="1:14" x14ac:dyDescent="0.3">
      <c r="A443" t="s">
        <v>743</v>
      </c>
      <c r="B443" s="4">
        <v>46054</v>
      </c>
      <c r="C443" t="s">
        <v>237</v>
      </c>
      <c r="D443" t="s">
        <v>238</v>
      </c>
      <c r="E443" t="s">
        <v>10</v>
      </c>
      <c r="F443" t="s">
        <v>72</v>
      </c>
      <c r="G443" t="s">
        <v>201</v>
      </c>
      <c r="H443" t="s">
        <v>202</v>
      </c>
      <c r="I443" t="s">
        <v>63</v>
      </c>
      <c r="J443">
        <v>2</v>
      </c>
      <c r="K443">
        <v>456</v>
      </c>
      <c r="L443" t="s">
        <v>9</v>
      </c>
      <c r="M443" t="s">
        <v>52</v>
      </c>
      <c r="N443">
        <f t="shared" si="6"/>
        <v>912</v>
      </c>
    </row>
    <row r="444" spans="1:14" x14ac:dyDescent="0.3">
      <c r="A444" t="s">
        <v>744</v>
      </c>
      <c r="B444" s="4">
        <v>46035</v>
      </c>
      <c r="C444" t="s">
        <v>344</v>
      </c>
      <c r="D444" t="s">
        <v>345</v>
      </c>
      <c r="E444" t="s">
        <v>6</v>
      </c>
      <c r="F444" t="s">
        <v>90</v>
      </c>
      <c r="G444" t="s">
        <v>84</v>
      </c>
      <c r="H444" t="s">
        <v>85</v>
      </c>
      <c r="I444" t="s">
        <v>51</v>
      </c>
      <c r="J444">
        <v>8</v>
      </c>
      <c r="K444">
        <v>722</v>
      </c>
      <c r="L444" t="s">
        <v>4</v>
      </c>
      <c r="M444" t="s">
        <v>80</v>
      </c>
      <c r="N444">
        <f t="shared" si="6"/>
        <v>5776</v>
      </c>
    </row>
    <row r="445" spans="1:14" x14ac:dyDescent="0.3">
      <c r="A445" t="s">
        <v>745</v>
      </c>
      <c r="B445" s="4">
        <v>46107</v>
      </c>
      <c r="C445" t="s">
        <v>46</v>
      </c>
      <c r="D445" t="s">
        <v>47</v>
      </c>
      <c r="E445" t="s">
        <v>1</v>
      </c>
      <c r="F445" t="s">
        <v>48</v>
      </c>
      <c r="G445" t="s">
        <v>239</v>
      </c>
      <c r="H445" t="s">
        <v>240</v>
      </c>
      <c r="I445" t="s">
        <v>63</v>
      </c>
      <c r="J445">
        <v>1</v>
      </c>
      <c r="K445">
        <v>720</v>
      </c>
      <c r="L445" t="s">
        <v>14</v>
      </c>
      <c r="M445" t="s">
        <v>80</v>
      </c>
      <c r="N445">
        <f t="shared" si="6"/>
        <v>720</v>
      </c>
    </row>
    <row r="446" spans="1:14" x14ac:dyDescent="0.3">
      <c r="A446" t="s">
        <v>746</v>
      </c>
      <c r="B446" s="4">
        <v>46168</v>
      </c>
      <c r="C446" t="s">
        <v>189</v>
      </c>
      <c r="D446" t="s">
        <v>190</v>
      </c>
      <c r="E446" t="s">
        <v>6</v>
      </c>
      <c r="F446" t="s">
        <v>72</v>
      </c>
      <c r="G446" t="s">
        <v>239</v>
      </c>
      <c r="H446" t="s">
        <v>240</v>
      </c>
      <c r="I446" t="s">
        <v>63</v>
      </c>
      <c r="J446">
        <v>4</v>
      </c>
      <c r="K446">
        <v>756</v>
      </c>
      <c r="L446" t="s">
        <v>9</v>
      </c>
      <c r="M446" t="s">
        <v>105</v>
      </c>
      <c r="N446">
        <f t="shared" si="6"/>
        <v>3024</v>
      </c>
    </row>
    <row r="447" spans="1:14" x14ac:dyDescent="0.3">
      <c r="A447" t="s">
        <v>747</v>
      </c>
      <c r="B447" s="4">
        <v>46221</v>
      </c>
      <c r="C447" t="s">
        <v>357</v>
      </c>
      <c r="D447" t="s">
        <v>358</v>
      </c>
      <c r="E447" t="s">
        <v>15</v>
      </c>
      <c r="F447" t="s">
        <v>90</v>
      </c>
      <c r="G447" t="s">
        <v>205</v>
      </c>
      <c r="H447" t="s">
        <v>206</v>
      </c>
      <c r="I447" t="s">
        <v>51</v>
      </c>
      <c r="J447">
        <v>4</v>
      </c>
      <c r="K447">
        <v>619.5</v>
      </c>
      <c r="L447" t="s">
        <v>9</v>
      </c>
      <c r="M447" t="s">
        <v>52</v>
      </c>
      <c r="N447">
        <f t="shared" si="6"/>
        <v>2478</v>
      </c>
    </row>
    <row r="448" spans="1:14" x14ac:dyDescent="0.3">
      <c r="A448" t="s">
        <v>748</v>
      </c>
      <c r="B448" s="4">
        <v>46030</v>
      </c>
      <c r="C448" t="s">
        <v>253</v>
      </c>
      <c r="D448" t="s">
        <v>254</v>
      </c>
      <c r="E448" t="s">
        <v>6</v>
      </c>
      <c r="F448" t="s">
        <v>72</v>
      </c>
      <c r="G448" t="s">
        <v>95</v>
      </c>
      <c r="H448" t="s">
        <v>96</v>
      </c>
      <c r="I448" t="s">
        <v>75</v>
      </c>
      <c r="J448">
        <v>1</v>
      </c>
      <c r="K448">
        <v>650</v>
      </c>
      <c r="L448" t="s">
        <v>2</v>
      </c>
      <c r="M448" t="s">
        <v>58</v>
      </c>
      <c r="N448">
        <f t="shared" si="6"/>
        <v>650</v>
      </c>
    </row>
    <row r="449" spans="1:14" x14ac:dyDescent="0.3">
      <c r="A449" t="s">
        <v>749</v>
      </c>
      <c r="B449" s="4">
        <v>46218</v>
      </c>
      <c r="C449" t="s">
        <v>561</v>
      </c>
      <c r="D449" t="s">
        <v>562</v>
      </c>
      <c r="E449" t="s">
        <v>15</v>
      </c>
      <c r="F449" t="s">
        <v>90</v>
      </c>
      <c r="G449" t="s">
        <v>136</v>
      </c>
      <c r="H449" t="s">
        <v>137</v>
      </c>
      <c r="I449" t="s">
        <v>111</v>
      </c>
      <c r="J449">
        <v>3</v>
      </c>
      <c r="K449">
        <v>85</v>
      </c>
      <c r="L449" t="s">
        <v>14</v>
      </c>
      <c r="M449" t="s">
        <v>52</v>
      </c>
      <c r="N449">
        <f t="shared" si="6"/>
        <v>255</v>
      </c>
    </row>
    <row r="450" spans="1:14" x14ac:dyDescent="0.3">
      <c r="A450" t="s">
        <v>750</v>
      </c>
      <c r="B450" s="4">
        <v>46131</v>
      </c>
      <c r="C450" t="s">
        <v>316</v>
      </c>
      <c r="D450" t="s">
        <v>317</v>
      </c>
      <c r="E450" t="s">
        <v>6</v>
      </c>
      <c r="F450" t="s">
        <v>72</v>
      </c>
      <c r="G450" t="s">
        <v>56</v>
      </c>
      <c r="H450" t="s">
        <v>3</v>
      </c>
      <c r="I450" t="s">
        <v>57</v>
      </c>
      <c r="J450">
        <v>2</v>
      </c>
      <c r="K450">
        <v>7790</v>
      </c>
      <c r="L450" t="s">
        <v>9</v>
      </c>
      <c r="M450" t="s">
        <v>80</v>
      </c>
      <c r="N450">
        <f t="shared" si="6"/>
        <v>15580</v>
      </c>
    </row>
    <row r="451" spans="1:14" x14ac:dyDescent="0.3">
      <c r="A451" t="s">
        <v>751</v>
      </c>
      <c r="B451" s="4">
        <v>46259</v>
      </c>
      <c r="C451" t="s">
        <v>126</v>
      </c>
      <c r="D451" t="s">
        <v>127</v>
      </c>
      <c r="E451" t="s">
        <v>15</v>
      </c>
      <c r="F451" t="s">
        <v>72</v>
      </c>
      <c r="G451" t="s">
        <v>163</v>
      </c>
      <c r="H451" t="s">
        <v>164</v>
      </c>
      <c r="I451" t="s">
        <v>111</v>
      </c>
      <c r="J451">
        <v>1</v>
      </c>
      <c r="K451">
        <v>252</v>
      </c>
      <c r="L451" t="s">
        <v>4</v>
      </c>
      <c r="M451" t="s">
        <v>80</v>
      </c>
      <c r="N451">
        <f t="shared" ref="N451:N514" si="7">J451*K451</f>
        <v>252</v>
      </c>
    </row>
    <row r="452" spans="1:14" x14ac:dyDescent="0.3">
      <c r="A452" t="s">
        <v>752</v>
      </c>
      <c r="B452" s="4">
        <v>46172</v>
      </c>
      <c r="C452" t="s">
        <v>178</v>
      </c>
      <c r="D452" t="s">
        <v>179</v>
      </c>
      <c r="E452" t="s">
        <v>10</v>
      </c>
      <c r="F452" t="s">
        <v>48</v>
      </c>
      <c r="G452" t="s">
        <v>183</v>
      </c>
      <c r="H452" t="s">
        <v>184</v>
      </c>
      <c r="I452" t="s">
        <v>111</v>
      </c>
      <c r="J452">
        <v>1</v>
      </c>
      <c r="K452">
        <v>180</v>
      </c>
      <c r="L452" t="s">
        <v>2</v>
      </c>
      <c r="M452" t="s">
        <v>105</v>
      </c>
      <c r="N452">
        <f t="shared" si="7"/>
        <v>180</v>
      </c>
    </row>
    <row r="453" spans="1:14" x14ac:dyDescent="0.3">
      <c r="A453" t="s">
        <v>753</v>
      </c>
      <c r="B453" s="4">
        <v>46135</v>
      </c>
      <c r="C453" t="s">
        <v>260</v>
      </c>
      <c r="D453" t="s">
        <v>261</v>
      </c>
      <c r="E453" t="s">
        <v>1</v>
      </c>
      <c r="F453" t="s">
        <v>48</v>
      </c>
      <c r="G453" t="s">
        <v>163</v>
      </c>
      <c r="H453" t="s">
        <v>164</v>
      </c>
      <c r="I453" t="s">
        <v>111</v>
      </c>
      <c r="J453">
        <v>3</v>
      </c>
      <c r="K453">
        <v>240</v>
      </c>
      <c r="L453" t="s">
        <v>9</v>
      </c>
      <c r="M453" t="s">
        <v>80</v>
      </c>
      <c r="N453">
        <f t="shared" si="7"/>
        <v>720</v>
      </c>
    </row>
    <row r="454" spans="1:14" x14ac:dyDescent="0.3">
      <c r="A454" t="s">
        <v>754</v>
      </c>
      <c r="B454" s="4">
        <v>46229</v>
      </c>
      <c r="C454" t="s">
        <v>250</v>
      </c>
      <c r="D454" t="s">
        <v>251</v>
      </c>
      <c r="E454" t="s">
        <v>1</v>
      </c>
      <c r="F454" t="s">
        <v>48</v>
      </c>
      <c r="G454" t="s">
        <v>61</v>
      </c>
      <c r="H454" t="s">
        <v>62</v>
      </c>
      <c r="I454" t="s">
        <v>63</v>
      </c>
      <c r="J454">
        <v>2</v>
      </c>
      <c r="K454">
        <v>110</v>
      </c>
      <c r="L454" t="s">
        <v>7</v>
      </c>
      <c r="M454" t="s">
        <v>105</v>
      </c>
      <c r="N454">
        <f t="shared" si="7"/>
        <v>220</v>
      </c>
    </row>
    <row r="455" spans="1:14" x14ac:dyDescent="0.3">
      <c r="A455" t="s">
        <v>755</v>
      </c>
      <c r="B455" s="4">
        <v>46043</v>
      </c>
      <c r="C455" t="s">
        <v>411</v>
      </c>
      <c r="D455" t="s">
        <v>324</v>
      </c>
      <c r="E455" t="s">
        <v>19</v>
      </c>
      <c r="F455" t="s">
        <v>48</v>
      </c>
      <c r="G455" t="s">
        <v>56</v>
      </c>
      <c r="H455" t="s">
        <v>3</v>
      </c>
      <c r="I455" t="s">
        <v>57</v>
      </c>
      <c r="J455">
        <v>6</v>
      </c>
      <c r="K455">
        <v>8200</v>
      </c>
      <c r="L455" t="s">
        <v>17</v>
      </c>
      <c r="M455" t="s">
        <v>58</v>
      </c>
      <c r="N455">
        <f t="shared" si="7"/>
        <v>49200</v>
      </c>
    </row>
    <row r="456" spans="1:14" x14ac:dyDescent="0.3">
      <c r="A456" t="s">
        <v>756</v>
      </c>
      <c r="B456" s="4">
        <v>46066</v>
      </c>
      <c r="C456" t="s">
        <v>451</v>
      </c>
      <c r="D456" t="s">
        <v>452</v>
      </c>
      <c r="E456" t="s">
        <v>6</v>
      </c>
      <c r="F456" t="s">
        <v>72</v>
      </c>
      <c r="G456" t="s">
        <v>67</v>
      </c>
      <c r="H456" t="s">
        <v>8</v>
      </c>
      <c r="I456" t="s">
        <v>68</v>
      </c>
      <c r="J456">
        <v>2</v>
      </c>
      <c r="K456">
        <v>1450</v>
      </c>
      <c r="L456" t="s">
        <v>4</v>
      </c>
      <c r="M456" t="s">
        <v>58</v>
      </c>
      <c r="N456">
        <f t="shared" si="7"/>
        <v>2900</v>
      </c>
    </row>
    <row r="457" spans="1:14" x14ac:dyDescent="0.3">
      <c r="A457" t="s">
        <v>757</v>
      </c>
      <c r="B457" s="4">
        <v>46221</v>
      </c>
      <c r="C457" t="s">
        <v>348</v>
      </c>
      <c r="D457" t="s">
        <v>349</v>
      </c>
      <c r="E457" t="s">
        <v>19</v>
      </c>
      <c r="F457" t="s">
        <v>72</v>
      </c>
      <c r="G457" t="s">
        <v>201</v>
      </c>
      <c r="H457" t="s">
        <v>202</v>
      </c>
      <c r="I457" t="s">
        <v>63</v>
      </c>
      <c r="J457">
        <v>1</v>
      </c>
      <c r="K457">
        <v>480</v>
      </c>
      <c r="L457" t="s">
        <v>4</v>
      </c>
      <c r="M457" t="s">
        <v>80</v>
      </c>
      <c r="N457">
        <f t="shared" si="7"/>
        <v>480</v>
      </c>
    </row>
    <row r="458" spans="1:14" x14ac:dyDescent="0.3">
      <c r="A458" t="s">
        <v>758</v>
      </c>
      <c r="B458" s="4">
        <v>46047</v>
      </c>
      <c r="C458" t="s">
        <v>166</v>
      </c>
      <c r="D458" t="s">
        <v>167</v>
      </c>
      <c r="E458" t="s">
        <v>1</v>
      </c>
      <c r="F458" t="s">
        <v>48</v>
      </c>
      <c r="G458" t="s">
        <v>67</v>
      </c>
      <c r="H458" t="s">
        <v>8</v>
      </c>
      <c r="I458" t="s">
        <v>68</v>
      </c>
      <c r="J458">
        <v>1</v>
      </c>
      <c r="K458">
        <v>1450</v>
      </c>
      <c r="L458" t="s">
        <v>2</v>
      </c>
      <c r="M458" t="s">
        <v>58</v>
      </c>
      <c r="N458">
        <f t="shared" si="7"/>
        <v>1450</v>
      </c>
    </row>
    <row r="459" spans="1:14" x14ac:dyDescent="0.3">
      <c r="A459" t="s">
        <v>759</v>
      </c>
      <c r="B459" s="4">
        <v>46061</v>
      </c>
      <c r="C459" t="s">
        <v>361</v>
      </c>
      <c r="D459" t="s">
        <v>362</v>
      </c>
      <c r="E459" t="s">
        <v>15</v>
      </c>
      <c r="F459" t="s">
        <v>48</v>
      </c>
      <c r="G459" t="s">
        <v>61</v>
      </c>
      <c r="H459" t="s">
        <v>62</v>
      </c>
      <c r="I459" t="s">
        <v>63</v>
      </c>
      <c r="J459">
        <v>1</v>
      </c>
      <c r="K459">
        <v>110</v>
      </c>
      <c r="L459" t="s">
        <v>7</v>
      </c>
      <c r="M459" t="s">
        <v>105</v>
      </c>
      <c r="N459">
        <f t="shared" si="7"/>
        <v>110</v>
      </c>
    </row>
    <row r="460" spans="1:14" x14ac:dyDescent="0.3">
      <c r="A460" t="s">
        <v>760</v>
      </c>
      <c r="B460" s="4">
        <v>46197</v>
      </c>
      <c r="C460" t="s">
        <v>291</v>
      </c>
      <c r="D460" t="s">
        <v>219</v>
      </c>
      <c r="E460" t="s">
        <v>19</v>
      </c>
      <c r="F460" t="s">
        <v>48</v>
      </c>
      <c r="G460" t="s">
        <v>163</v>
      </c>
      <c r="H460" t="s">
        <v>164</v>
      </c>
      <c r="I460" t="s">
        <v>111</v>
      </c>
      <c r="J460">
        <v>1</v>
      </c>
      <c r="K460">
        <v>240</v>
      </c>
      <c r="L460" t="s">
        <v>14</v>
      </c>
      <c r="M460" t="s">
        <v>105</v>
      </c>
      <c r="N460">
        <f t="shared" si="7"/>
        <v>240</v>
      </c>
    </row>
    <row r="461" spans="1:14" x14ac:dyDescent="0.3">
      <c r="A461" t="s">
        <v>761</v>
      </c>
      <c r="B461" s="4">
        <v>46166</v>
      </c>
      <c r="C461" t="s">
        <v>166</v>
      </c>
      <c r="D461" t="s">
        <v>167</v>
      </c>
      <c r="E461" t="s">
        <v>1</v>
      </c>
      <c r="F461" t="s">
        <v>48</v>
      </c>
      <c r="G461" t="s">
        <v>73</v>
      </c>
      <c r="H461" t="s">
        <v>74</v>
      </c>
      <c r="I461" t="s">
        <v>75</v>
      </c>
      <c r="J461">
        <v>3</v>
      </c>
      <c r="K461">
        <v>420</v>
      </c>
      <c r="L461" t="s">
        <v>14</v>
      </c>
      <c r="M461" t="s">
        <v>105</v>
      </c>
      <c r="N461">
        <f t="shared" si="7"/>
        <v>1260</v>
      </c>
    </row>
    <row r="462" spans="1:14" x14ac:dyDescent="0.3">
      <c r="A462" t="s">
        <v>762</v>
      </c>
      <c r="B462" s="4">
        <v>46055</v>
      </c>
      <c r="C462" t="s">
        <v>667</v>
      </c>
      <c r="D462" t="s">
        <v>668</v>
      </c>
      <c r="E462" t="s">
        <v>15</v>
      </c>
      <c r="F462" t="s">
        <v>72</v>
      </c>
      <c r="G462" t="s">
        <v>208</v>
      </c>
      <c r="H462" t="s">
        <v>22</v>
      </c>
      <c r="I462" t="s">
        <v>68</v>
      </c>
      <c r="J462">
        <v>1</v>
      </c>
      <c r="K462">
        <v>2200</v>
      </c>
      <c r="L462" t="s">
        <v>9</v>
      </c>
      <c r="M462" t="s">
        <v>52</v>
      </c>
      <c r="N462">
        <f t="shared" si="7"/>
        <v>2200</v>
      </c>
    </row>
    <row r="463" spans="1:14" x14ac:dyDescent="0.3">
      <c r="A463" t="s">
        <v>763</v>
      </c>
      <c r="B463" s="4">
        <v>46119</v>
      </c>
      <c r="C463" t="s">
        <v>204</v>
      </c>
      <c r="D463" t="s">
        <v>71</v>
      </c>
      <c r="E463" t="s">
        <v>15</v>
      </c>
      <c r="F463" t="s">
        <v>90</v>
      </c>
      <c r="G463" t="s">
        <v>109</v>
      </c>
      <c r="H463" t="s">
        <v>110</v>
      </c>
      <c r="I463" t="s">
        <v>111</v>
      </c>
      <c r="J463">
        <v>3</v>
      </c>
      <c r="K463">
        <v>304</v>
      </c>
      <c r="L463" t="s">
        <v>17</v>
      </c>
      <c r="M463" t="s">
        <v>80</v>
      </c>
      <c r="N463">
        <f t="shared" si="7"/>
        <v>912</v>
      </c>
    </row>
    <row r="464" spans="1:14" x14ac:dyDescent="0.3">
      <c r="A464" t="s">
        <v>764</v>
      </c>
      <c r="B464" s="4">
        <v>46029</v>
      </c>
      <c r="C464" t="s">
        <v>273</v>
      </c>
      <c r="D464" t="s">
        <v>765</v>
      </c>
      <c r="E464" t="s">
        <v>1</v>
      </c>
      <c r="F464" t="s">
        <v>72</v>
      </c>
      <c r="G464" t="s">
        <v>183</v>
      </c>
      <c r="H464" t="s">
        <v>184</v>
      </c>
      <c r="I464" t="s">
        <v>111</v>
      </c>
      <c r="J464">
        <v>10</v>
      </c>
      <c r="K464">
        <v>180</v>
      </c>
      <c r="L464" t="s">
        <v>2</v>
      </c>
      <c r="M464" t="s">
        <v>105</v>
      </c>
      <c r="N464">
        <f t="shared" si="7"/>
        <v>1800</v>
      </c>
    </row>
    <row r="465" spans="1:14" x14ac:dyDescent="0.3">
      <c r="A465" t="s">
        <v>766</v>
      </c>
      <c r="B465" s="4">
        <v>46047</v>
      </c>
      <c r="C465" t="s">
        <v>438</v>
      </c>
      <c r="D465" t="s">
        <v>439</v>
      </c>
      <c r="E465" t="s">
        <v>18</v>
      </c>
      <c r="F465" t="s">
        <v>72</v>
      </c>
      <c r="G465" t="s">
        <v>208</v>
      </c>
      <c r="H465" t="s">
        <v>22</v>
      </c>
      <c r="I465" t="s">
        <v>68</v>
      </c>
      <c r="J465">
        <v>5</v>
      </c>
      <c r="K465">
        <v>2200</v>
      </c>
      <c r="L465" t="s">
        <v>14</v>
      </c>
      <c r="M465" t="s">
        <v>58</v>
      </c>
      <c r="N465">
        <f t="shared" si="7"/>
        <v>11000</v>
      </c>
    </row>
    <row r="466" spans="1:14" x14ac:dyDescent="0.3">
      <c r="A466" t="s">
        <v>767</v>
      </c>
      <c r="B466" s="4">
        <v>46067</v>
      </c>
      <c r="C466" t="s">
        <v>288</v>
      </c>
      <c r="D466" t="s">
        <v>289</v>
      </c>
      <c r="E466" t="s">
        <v>18</v>
      </c>
      <c r="F466" t="s">
        <v>90</v>
      </c>
      <c r="G466" t="s">
        <v>163</v>
      </c>
      <c r="H466" t="s">
        <v>164</v>
      </c>
      <c r="I466" t="s">
        <v>111</v>
      </c>
      <c r="J466">
        <v>6</v>
      </c>
      <c r="K466">
        <v>240</v>
      </c>
      <c r="L466" t="s">
        <v>2</v>
      </c>
      <c r="M466" t="s">
        <v>105</v>
      </c>
      <c r="N466">
        <f t="shared" si="7"/>
        <v>1440</v>
      </c>
    </row>
    <row r="467" spans="1:14" x14ac:dyDescent="0.3">
      <c r="A467" t="s">
        <v>768</v>
      </c>
      <c r="B467" s="4">
        <v>46121</v>
      </c>
      <c r="C467" t="s">
        <v>215</v>
      </c>
      <c r="D467" t="s">
        <v>12</v>
      </c>
      <c r="E467" t="s">
        <v>10</v>
      </c>
      <c r="F467" t="s">
        <v>72</v>
      </c>
      <c r="G467" t="s">
        <v>136</v>
      </c>
      <c r="H467" t="s">
        <v>137</v>
      </c>
      <c r="I467" t="s">
        <v>111</v>
      </c>
      <c r="J467">
        <v>3</v>
      </c>
      <c r="K467">
        <v>85</v>
      </c>
      <c r="L467" t="s">
        <v>7</v>
      </c>
      <c r="M467" t="s">
        <v>52</v>
      </c>
      <c r="N467">
        <f t="shared" si="7"/>
        <v>255</v>
      </c>
    </row>
    <row r="468" spans="1:14" x14ac:dyDescent="0.3">
      <c r="A468" t="s">
        <v>769</v>
      </c>
      <c r="B468" s="4">
        <v>46094</v>
      </c>
      <c r="C468" t="s">
        <v>174</v>
      </c>
      <c r="D468" t="s">
        <v>175</v>
      </c>
      <c r="E468" t="s">
        <v>10</v>
      </c>
      <c r="F468" t="s">
        <v>72</v>
      </c>
      <c r="G468" t="s">
        <v>123</v>
      </c>
      <c r="H468" t="s">
        <v>124</v>
      </c>
      <c r="I468" t="s">
        <v>111</v>
      </c>
      <c r="J468">
        <v>1</v>
      </c>
      <c r="K468">
        <v>160</v>
      </c>
      <c r="L468" t="s">
        <v>14</v>
      </c>
      <c r="M468" t="s">
        <v>52</v>
      </c>
      <c r="N468">
        <f t="shared" si="7"/>
        <v>160</v>
      </c>
    </row>
    <row r="469" spans="1:14" x14ac:dyDescent="0.3">
      <c r="A469" t="s">
        <v>770</v>
      </c>
      <c r="B469" s="4">
        <v>46151</v>
      </c>
      <c r="C469" t="s">
        <v>82</v>
      </c>
      <c r="D469" t="s">
        <v>83</v>
      </c>
      <c r="E469" t="s">
        <v>10</v>
      </c>
      <c r="F469" t="s">
        <v>72</v>
      </c>
      <c r="G469" t="s">
        <v>239</v>
      </c>
      <c r="H469" t="s">
        <v>240</v>
      </c>
      <c r="I469" t="s">
        <v>63</v>
      </c>
      <c r="J469">
        <v>2</v>
      </c>
      <c r="K469">
        <v>756</v>
      </c>
      <c r="L469" t="s">
        <v>4</v>
      </c>
      <c r="M469" t="s">
        <v>58</v>
      </c>
      <c r="N469">
        <f t="shared" si="7"/>
        <v>1512</v>
      </c>
    </row>
    <row r="470" spans="1:14" x14ac:dyDescent="0.3">
      <c r="A470" t="s">
        <v>771</v>
      </c>
      <c r="B470" s="4">
        <v>46122</v>
      </c>
      <c r="C470" t="s">
        <v>126</v>
      </c>
      <c r="D470" t="s">
        <v>127</v>
      </c>
      <c r="E470" t="s">
        <v>15</v>
      </c>
      <c r="F470" t="s">
        <v>72</v>
      </c>
      <c r="G470" t="s">
        <v>91</v>
      </c>
      <c r="H470" t="s">
        <v>13</v>
      </c>
      <c r="I470" t="s">
        <v>57</v>
      </c>
      <c r="J470">
        <v>1</v>
      </c>
      <c r="K470">
        <v>3100</v>
      </c>
      <c r="L470" t="s">
        <v>2</v>
      </c>
      <c r="M470" t="s">
        <v>52</v>
      </c>
      <c r="N470">
        <f t="shared" si="7"/>
        <v>3100</v>
      </c>
    </row>
    <row r="471" spans="1:14" x14ac:dyDescent="0.3">
      <c r="A471" t="s">
        <v>772</v>
      </c>
      <c r="B471" s="4">
        <v>46227</v>
      </c>
      <c r="C471" t="s">
        <v>310</v>
      </c>
      <c r="D471" t="s">
        <v>311</v>
      </c>
      <c r="E471" t="s">
        <v>19</v>
      </c>
      <c r="F471" t="s">
        <v>72</v>
      </c>
      <c r="G471" t="s">
        <v>49</v>
      </c>
      <c r="H471" t="s">
        <v>50</v>
      </c>
      <c r="I471" t="s">
        <v>51</v>
      </c>
      <c r="J471">
        <v>1</v>
      </c>
      <c r="K471">
        <v>95</v>
      </c>
      <c r="L471" t="s">
        <v>2</v>
      </c>
      <c r="M471" t="s">
        <v>80</v>
      </c>
      <c r="N471">
        <f t="shared" si="7"/>
        <v>95</v>
      </c>
    </row>
    <row r="472" spans="1:14" x14ac:dyDescent="0.3">
      <c r="A472" t="s">
        <v>773</v>
      </c>
      <c r="B472" s="4">
        <v>46224</v>
      </c>
      <c r="C472" t="s">
        <v>615</v>
      </c>
      <c r="D472" t="s">
        <v>118</v>
      </c>
      <c r="E472" t="s">
        <v>6</v>
      </c>
      <c r="F472" t="s">
        <v>48</v>
      </c>
      <c r="G472" t="s">
        <v>49</v>
      </c>
      <c r="H472" t="s">
        <v>50</v>
      </c>
      <c r="I472" t="s">
        <v>51</v>
      </c>
      <c r="J472">
        <v>2</v>
      </c>
      <c r="K472">
        <v>99.75</v>
      </c>
      <c r="L472" t="s">
        <v>17</v>
      </c>
      <c r="M472" t="s">
        <v>80</v>
      </c>
      <c r="N472">
        <f t="shared" si="7"/>
        <v>199.5</v>
      </c>
    </row>
    <row r="473" spans="1:14" x14ac:dyDescent="0.3">
      <c r="A473" t="s">
        <v>774</v>
      </c>
      <c r="B473" s="4">
        <v>46070</v>
      </c>
      <c r="C473" t="s">
        <v>98</v>
      </c>
      <c r="D473" t="s">
        <v>16</v>
      </c>
      <c r="E473" t="s">
        <v>1</v>
      </c>
      <c r="F473" t="s">
        <v>48</v>
      </c>
      <c r="G473" t="s">
        <v>91</v>
      </c>
      <c r="H473" t="s">
        <v>13</v>
      </c>
      <c r="I473" t="s">
        <v>57</v>
      </c>
      <c r="J473">
        <v>1</v>
      </c>
      <c r="K473">
        <v>3255</v>
      </c>
      <c r="L473" t="s">
        <v>9</v>
      </c>
      <c r="M473" t="s">
        <v>58</v>
      </c>
      <c r="N473">
        <f t="shared" si="7"/>
        <v>3255</v>
      </c>
    </row>
    <row r="474" spans="1:14" x14ac:dyDescent="0.3">
      <c r="A474" t="s">
        <v>775</v>
      </c>
      <c r="B474" s="4">
        <v>46038</v>
      </c>
      <c r="C474" t="s">
        <v>146</v>
      </c>
      <c r="D474" t="s">
        <v>147</v>
      </c>
      <c r="E474" t="s">
        <v>15</v>
      </c>
      <c r="F474" t="s">
        <v>90</v>
      </c>
      <c r="G474" t="s">
        <v>91</v>
      </c>
      <c r="H474" t="s">
        <v>13</v>
      </c>
      <c r="I474" t="s">
        <v>57</v>
      </c>
      <c r="J474">
        <v>4</v>
      </c>
      <c r="K474">
        <v>3100</v>
      </c>
      <c r="L474" t="s">
        <v>17</v>
      </c>
      <c r="M474" t="s">
        <v>80</v>
      </c>
      <c r="N474">
        <f t="shared" si="7"/>
        <v>12400</v>
      </c>
    </row>
    <row r="475" spans="1:14" x14ac:dyDescent="0.3">
      <c r="A475" t="s">
        <v>776</v>
      </c>
      <c r="B475" s="4">
        <v>46064</v>
      </c>
      <c r="C475" t="s">
        <v>510</v>
      </c>
      <c r="D475" t="s">
        <v>12</v>
      </c>
      <c r="E475" t="s">
        <v>10</v>
      </c>
      <c r="F475" t="s">
        <v>90</v>
      </c>
      <c r="G475" t="s">
        <v>56</v>
      </c>
      <c r="H475" t="s">
        <v>3</v>
      </c>
      <c r="I475" t="s">
        <v>57</v>
      </c>
      <c r="J475">
        <v>1</v>
      </c>
      <c r="K475">
        <v>8200</v>
      </c>
      <c r="L475" t="s">
        <v>7</v>
      </c>
      <c r="M475" t="s">
        <v>58</v>
      </c>
      <c r="N475">
        <f t="shared" si="7"/>
        <v>8200</v>
      </c>
    </row>
    <row r="476" spans="1:14" x14ac:dyDescent="0.3">
      <c r="A476" t="s">
        <v>777</v>
      </c>
      <c r="B476" s="4">
        <v>46171</v>
      </c>
      <c r="C476" t="s">
        <v>270</v>
      </c>
      <c r="D476" t="s">
        <v>271</v>
      </c>
      <c r="E476" t="s">
        <v>18</v>
      </c>
      <c r="F476" t="s">
        <v>48</v>
      </c>
      <c r="G476" t="s">
        <v>56</v>
      </c>
      <c r="H476" t="s">
        <v>3</v>
      </c>
      <c r="I476" t="s">
        <v>57</v>
      </c>
      <c r="J476">
        <v>5</v>
      </c>
      <c r="K476">
        <v>8200</v>
      </c>
      <c r="L476" t="s">
        <v>7</v>
      </c>
      <c r="M476" t="s">
        <v>52</v>
      </c>
      <c r="N476">
        <f t="shared" si="7"/>
        <v>41000</v>
      </c>
    </row>
    <row r="477" spans="1:14" x14ac:dyDescent="0.3">
      <c r="A477" t="s">
        <v>778</v>
      </c>
      <c r="B477" s="4">
        <v>46175</v>
      </c>
      <c r="C477" t="s">
        <v>60</v>
      </c>
      <c r="D477" t="s">
        <v>5</v>
      </c>
      <c r="E477" t="s">
        <v>6</v>
      </c>
      <c r="F477" t="s">
        <v>48</v>
      </c>
      <c r="G477" t="s">
        <v>56</v>
      </c>
      <c r="H477" t="s">
        <v>3</v>
      </c>
      <c r="I477" t="s">
        <v>57</v>
      </c>
      <c r="J477">
        <v>1</v>
      </c>
      <c r="K477">
        <v>8200</v>
      </c>
      <c r="L477" t="s">
        <v>17</v>
      </c>
      <c r="M477" t="s">
        <v>58</v>
      </c>
      <c r="N477">
        <f t="shared" si="7"/>
        <v>8200</v>
      </c>
    </row>
    <row r="478" spans="1:14" x14ac:dyDescent="0.3">
      <c r="A478" t="s">
        <v>779</v>
      </c>
      <c r="B478" s="4">
        <v>46169</v>
      </c>
      <c r="C478" t="s">
        <v>158</v>
      </c>
      <c r="D478" t="s">
        <v>159</v>
      </c>
      <c r="E478" t="s">
        <v>18</v>
      </c>
      <c r="F478" t="s">
        <v>48</v>
      </c>
      <c r="G478" t="s">
        <v>201</v>
      </c>
      <c r="H478" t="s">
        <v>202</v>
      </c>
      <c r="I478" t="s">
        <v>63</v>
      </c>
      <c r="J478">
        <v>2</v>
      </c>
      <c r="K478">
        <v>504</v>
      </c>
      <c r="L478" t="s">
        <v>9</v>
      </c>
      <c r="M478" t="s">
        <v>105</v>
      </c>
      <c r="N478">
        <f t="shared" si="7"/>
        <v>1008</v>
      </c>
    </row>
    <row r="479" spans="1:14" x14ac:dyDescent="0.3">
      <c r="A479" t="s">
        <v>780</v>
      </c>
      <c r="B479" s="4">
        <v>46068</v>
      </c>
      <c r="C479" t="s">
        <v>364</v>
      </c>
      <c r="D479" t="s">
        <v>365</v>
      </c>
      <c r="E479" t="s">
        <v>6</v>
      </c>
      <c r="F479" t="s">
        <v>90</v>
      </c>
      <c r="G479" t="s">
        <v>239</v>
      </c>
      <c r="H479" t="s">
        <v>240</v>
      </c>
      <c r="I479" t="s">
        <v>63</v>
      </c>
      <c r="J479">
        <v>2</v>
      </c>
      <c r="K479">
        <v>684</v>
      </c>
      <c r="L479" t="s">
        <v>14</v>
      </c>
      <c r="M479" t="s">
        <v>52</v>
      </c>
      <c r="N479">
        <f t="shared" si="7"/>
        <v>1368</v>
      </c>
    </row>
    <row r="480" spans="1:14" x14ac:dyDescent="0.3">
      <c r="A480" t="s">
        <v>781</v>
      </c>
      <c r="B480" s="4">
        <v>46029</v>
      </c>
      <c r="C480" t="s">
        <v>267</v>
      </c>
      <c r="D480" t="s">
        <v>268</v>
      </c>
      <c r="E480" t="s">
        <v>19</v>
      </c>
      <c r="F480" t="s">
        <v>72</v>
      </c>
      <c r="G480" t="s">
        <v>56</v>
      </c>
      <c r="H480" t="s">
        <v>3</v>
      </c>
      <c r="I480" t="s">
        <v>57</v>
      </c>
      <c r="J480">
        <v>2</v>
      </c>
      <c r="K480">
        <v>7790</v>
      </c>
      <c r="L480" t="s">
        <v>7</v>
      </c>
      <c r="M480" t="s">
        <v>52</v>
      </c>
      <c r="N480">
        <f t="shared" si="7"/>
        <v>15580</v>
      </c>
    </row>
    <row r="481" spans="1:14" x14ac:dyDescent="0.3">
      <c r="A481" t="s">
        <v>782</v>
      </c>
      <c r="B481" s="4">
        <v>46111</v>
      </c>
      <c r="C481" t="s">
        <v>438</v>
      </c>
      <c r="D481" t="s">
        <v>439</v>
      </c>
      <c r="E481" t="s">
        <v>18</v>
      </c>
      <c r="F481" t="s">
        <v>72</v>
      </c>
      <c r="G481" t="s">
        <v>208</v>
      </c>
      <c r="H481" t="s">
        <v>22</v>
      </c>
      <c r="I481" t="s">
        <v>68</v>
      </c>
      <c r="J481">
        <v>3</v>
      </c>
      <c r="K481">
        <v>2200</v>
      </c>
      <c r="L481" t="s">
        <v>14</v>
      </c>
      <c r="M481" t="s">
        <v>58</v>
      </c>
      <c r="N481">
        <f t="shared" si="7"/>
        <v>6600</v>
      </c>
    </row>
    <row r="482" spans="1:14" x14ac:dyDescent="0.3">
      <c r="A482" t="s">
        <v>783</v>
      </c>
      <c r="B482" s="4">
        <v>46222</v>
      </c>
      <c r="C482" t="s">
        <v>134</v>
      </c>
      <c r="D482" t="s">
        <v>135</v>
      </c>
      <c r="E482" t="s">
        <v>15</v>
      </c>
      <c r="F482" t="s">
        <v>72</v>
      </c>
      <c r="G482" t="s">
        <v>208</v>
      </c>
      <c r="H482" t="s">
        <v>22</v>
      </c>
      <c r="I482" t="s">
        <v>68</v>
      </c>
      <c r="J482">
        <v>1</v>
      </c>
      <c r="K482">
        <v>2310</v>
      </c>
      <c r="L482" t="s">
        <v>7</v>
      </c>
      <c r="M482" t="s">
        <v>58</v>
      </c>
      <c r="N482">
        <f t="shared" si="7"/>
        <v>2310</v>
      </c>
    </row>
    <row r="483" spans="1:14" x14ac:dyDescent="0.3">
      <c r="A483" t="s">
        <v>784</v>
      </c>
      <c r="B483" s="4">
        <v>46174</v>
      </c>
      <c r="C483" t="s">
        <v>357</v>
      </c>
      <c r="D483" t="s">
        <v>677</v>
      </c>
      <c r="E483" t="s">
        <v>15</v>
      </c>
      <c r="F483" t="s">
        <v>90</v>
      </c>
      <c r="G483" t="s">
        <v>109</v>
      </c>
      <c r="H483" t="s">
        <v>110</v>
      </c>
      <c r="I483" t="s">
        <v>111</v>
      </c>
      <c r="J483">
        <v>1</v>
      </c>
      <c r="K483">
        <v>320</v>
      </c>
      <c r="L483" t="s">
        <v>7</v>
      </c>
      <c r="M483" t="s">
        <v>52</v>
      </c>
      <c r="N483">
        <f t="shared" si="7"/>
        <v>320</v>
      </c>
    </row>
    <row r="484" spans="1:14" x14ac:dyDescent="0.3">
      <c r="A484" t="s">
        <v>785</v>
      </c>
      <c r="B484" s="4">
        <v>46226</v>
      </c>
      <c r="C484" t="s">
        <v>457</v>
      </c>
      <c r="D484" t="s">
        <v>458</v>
      </c>
      <c r="E484" t="s">
        <v>1</v>
      </c>
      <c r="F484" t="s">
        <v>48</v>
      </c>
      <c r="G484" t="s">
        <v>95</v>
      </c>
      <c r="H484" t="s">
        <v>96</v>
      </c>
      <c r="I484" t="s">
        <v>75</v>
      </c>
      <c r="J484">
        <v>3</v>
      </c>
      <c r="K484">
        <v>650</v>
      </c>
      <c r="L484" t="s">
        <v>2</v>
      </c>
      <c r="M484" t="s">
        <v>80</v>
      </c>
      <c r="N484">
        <f t="shared" si="7"/>
        <v>1950</v>
      </c>
    </row>
    <row r="485" spans="1:14" x14ac:dyDescent="0.3">
      <c r="A485" t="s">
        <v>786</v>
      </c>
      <c r="B485" s="4">
        <v>46201</v>
      </c>
      <c r="C485" t="s">
        <v>60</v>
      </c>
      <c r="D485" t="s">
        <v>5</v>
      </c>
      <c r="E485" t="s">
        <v>6</v>
      </c>
      <c r="F485" t="s">
        <v>48</v>
      </c>
      <c r="G485" t="s">
        <v>49</v>
      </c>
      <c r="H485" t="s">
        <v>50</v>
      </c>
      <c r="I485" t="s">
        <v>51</v>
      </c>
      <c r="J485">
        <v>5</v>
      </c>
      <c r="K485">
        <v>99.75</v>
      </c>
      <c r="L485" t="s">
        <v>7</v>
      </c>
      <c r="M485" t="s">
        <v>52</v>
      </c>
      <c r="N485">
        <f t="shared" si="7"/>
        <v>498.75</v>
      </c>
    </row>
    <row r="486" spans="1:14" x14ac:dyDescent="0.3">
      <c r="A486" t="s">
        <v>787</v>
      </c>
      <c r="B486" s="4">
        <v>46120</v>
      </c>
      <c r="C486" t="s">
        <v>114</v>
      </c>
      <c r="D486" t="s">
        <v>115</v>
      </c>
      <c r="E486" t="s">
        <v>18</v>
      </c>
      <c r="F486" t="s">
        <v>72</v>
      </c>
      <c r="G486" t="s">
        <v>123</v>
      </c>
      <c r="H486" t="s">
        <v>124</v>
      </c>
      <c r="I486" t="s">
        <v>111</v>
      </c>
      <c r="J486">
        <v>1</v>
      </c>
      <c r="K486">
        <v>160</v>
      </c>
      <c r="L486" t="s">
        <v>9</v>
      </c>
      <c r="M486" t="s">
        <v>52</v>
      </c>
      <c r="N486">
        <f t="shared" si="7"/>
        <v>160</v>
      </c>
    </row>
    <row r="487" spans="1:14" x14ac:dyDescent="0.3">
      <c r="A487" t="s">
        <v>788</v>
      </c>
      <c r="B487" s="4">
        <v>46203</v>
      </c>
      <c r="C487" t="s">
        <v>339</v>
      </c>
      <c r="D487" t="s">
        <v>340</v>
      </c>
      <c r="E487" t="s">
        <v>6</v>
      </c>
      <c r="F487" t="s">
        <v>90</v>
      </c>
      <c r="G487" t="s">
        <v>136</v>
      </c>
      <c r="H487" t="s">
        <v>137</v>
      </c>
      <c r="I487" t="s">
        <v>111</v>
      </c>
      <c r="J487">
        <v>6</v>
      </c>
      <c r="K487">
        <v>85</v>
      </c>
      <c r="L487" t="s">
        <v>17</v>
      </c>
      <c r="M487" t="s">
        <v>58</v>
      </c>
      <c r="N487">
        <f t="shared" si="7"/>
        <v>510</v>
      </c>
    </row>
    <row r="488" spans="1:14" x14ac:dyDescent="0.3">
      <c r="A488" t="s">
        <v>789</v>
      </c>
      <c r="B488" s="4">
        <v>46259</v>
      </c>
      <c r="C488" t="s">
        <v>573</v>
      </c>
      <c r="D488" t="s">
        <v>20</v>
      </c>
      <c r="E488" t="s">
        <v>10</v>
      </c>
      <c r="F488" t="s">
        <v>48</v>
      </c>
      <c r="G488" t="s">
        <v>61</v>
      </c>
      <c r="H488" t="s">
        <v>62</v>
      </c>
      <c r="I488" t="s">
        <v>63</v>
      </c>
      <c r="J488">
        <v>4</v>
      </c>
      <c r="K488">
        <v>115.5</v>
      </c>
      <c r="L488" t="s">
        <v>9</v>
      </c>
      <c r="M488" t="s">
        <v>58</v>
      </c>
      <c r="N488">
        <f t="shared" si="7"/>
        <v>462</v>
      </c>
    </row>
    <row r="489" spans="1:14" x14ac:dyDescent="0.3">
      <c r="A489" t="s">
        <v>790</v>
      </c>
      <c r="B489" s="4">
        <v>46060</v>
      </c>
      <c r="C489" t="s">
        <v>483</v>
      </c>
      <c r="D489" t="s">
        <v>484</v>
      </c>
      <c r="E489" t="s">
        <v>15</v>
      </c>
      <c r="F489" t="s">
        <v>72</v>
      </c>
      <c r="G489" t="s">
        <v>205</v>
      </c>
      <c r="H489" t="s">
        <v>206</v>
      </c>
      <c r="I489" t="s">
        <v>51</v>
      </c>
      <c r="J489">
        <v>1</v>
      </c>
      <c r="K489">
        <v>560.5</v>
      </c>
      <c r="L489" t="s">
        <v>9</v>
      </c>
      <c r="M489" t="s">
        <v>80</v>
      </c>
      <c r="N489">
        <f t="shared" si="7"/>
        <v>560.5</v>
      </c>
    </row>
    <row r="490" spans="1:14" x14ac:dyDescent="0.3">
      <c r="A490" t="s">
        <v>791</v>
      </c>
      <c r="B490" s="4">
        <v>46186</v>
      </c>
      <c r="C490" t="s">
        <v>155</v>
      </c>
      <c r="D490" t="s">
        <v>156</v>
      </c>
      <c r="E490" t="s">
        <v>18</v>
      </c>
      <c r="F490" t="s">
        <v>72</v>
      </c>
      <c r="G490" t="s">
        <v>123</v>
      </c>
      <c r="H490" t="s">
        <v>124</v>
      </c>
      <c r="I490" t="s">
        <v>111</v>
      </c>
      <c r="J490">
        <v>5</v>
      </c>
      <c r="K490">
        <v>152</v>
      </c>
      <c r="L490" t="s">
        <v>2</v>
      </c>
      <c r="M490" t="s">
        <v>80</v>
      </c>
      <c r="N490">
        <f t="shared" si="7"/>
        <v>760</v>
      </c>
    </row>
    <row r="491" spans="1:14" x14ac:dyDescent="0.3">
      <c r="A491" t="s">
        <v>792</v>
      </c>
      <c r="B491" s="4">
        <v>46091</v>
      </c>
      <c r="C491" t="s">
        <v>380</v>
      </c>
      <c r="D491" t="s">
        <v>381</v>
      </c>
      <c r="E491" t="s">
        <v>18</v>
      </c>
      <c r="F491" t="s">
        <v>72</v>
      </c>
      <c r="G491" t="s">
        <v>136</v>
      </c>
      <c r="H491" t="s">
        <v>137</v>
      </c>
      <c r="I491" t="s">
        <v>111</v>
      </c>
      <c r="J491">
        <v>1</v>
      </c>
      <c r="K491">
        <v>80.75</v>
      </c>
      <c r="L491" t="s">
        <v>7</v>
      </c>
      <c r="M491" t="s">
        <v>80</v>
      </c>
      <c r="N491">
        <f t="shared" si="7"/>
        <v>80.75</v>
      </c>
    </row>
    <row r="492" spans="1:14" x14ac:dyDescent="0.3">
      <c r="A492" t="s">
        <v>793</v>
      </c>
      <c r="B492" s="4">
        <v>46208</v>
      </c>
      <c r="C492" t="s">
        <v>65</v>
      </c>
      <c r="D492" t="s">
        <v>66</v>
      </c>
      <c r="E492" t="s">
        <v>1</v>
      </c>
      <c r="F492" t="s">
        <v>48</v>
      </c>
      <c r="G492" t="s">
        <v>67</v>
      </c>
      <c r="H492" t="s">
        <v>8</v>
      </c>
      <c r="I492" t="s">
        <v>68</v>
      </c>
      <c r="J492">
        <v>1</v>
      </c>
      <c r="K492">
        <v>1450</v>
      </c>
      <c r="L492" t="s">
        <v>4</v>
      </c>
      <c r="M492" t="s">
        <v>105</v>
      </c>
      <c r="N492">
        <f t="shared" si="7"/>
        <v>1450</v>
      </c>
    </row>
    <row r="493" spans="1:14" x14ac:dyDescent="0.3">
      <c r="A493" t="s">
        <v>794</v>
      </c>
      <c r="B493" s="4">
        <v>46150</v>
      </c>
      <c r="C493" t="s">
        <v>585</v>
      </c>
      <c r="D493" t="s">
        <v>182</v>
      </c>
      <c r="E493" t="s">
        <v>6</v>
      </c>
      <c r="F493" t="s">
        <v>90</v>
      </c>
      <c r="G493" t="s">
        <v>95</v>
      </c>
      <c r="H493" t="s">
        <v>96</v>
      </c>
      <c r="I493" t="s">
        <v>75</v>
      </c>
      <c r="J493">
        <v>5</v>
      </c>
      <c r="K493">
        <v>650</v>
      </c>
      <c r="L493" t="s">
        <v>17</v>
      </c>
      <c r="M493" t="s">
        <v>105</v>
      </c>
      <c r="N493">
        <f t="shared" si="7"/>
        <v>3250</v>
      </c>
    </row>
    <row r="494" spans="1:14" x14ac:dyDescent="0.3">
      <c r="A494" t="s">
        <v>795</v>
      </c>
      <c r="B494" s="4">
        <v>46225</v>
      </c>
      <c r="C494" t="s">
        <v>230</v>
      </c>
      <c r="D494" t="s">
        <v>231</v>
      </c>
      <c r="E494" t="s">
        <v>1</v>
      </c>
      <c r="F494" t="s">
        <v>48</v>
      </c>
      <c r="G494" t="s">
        <v>205</v>
      </c>
      <c r="H494" t="s">
        <v>206</v>
      </c>
      <c r="I494" t="s">
        <v>51</v>
      </c>
      <c r="J494">
        <v>5</v>
      </c>
      <c r="K494">
        <v>590</v>
      </c>
      <c r="L494" t="s">
        <v>9</v>
      </c>
      <c r="M494" t="s">
        <v>105</v>
      </c>
      <c r="N494">
        <f t="shared" si="7"/>
        <v>2950</v>
      </c>
    </row>
    <row r="495" spans="1:14" x14ac:dyDescent="0.3">
      <c r="A495" t="s">
        <v>796</v>
      </c>
      <c r="B495" s="4">
        <v>46099</v>
      </c>
      <c r="C495" t="s">
        <v>260</v>
      </c>
      <c r="D495" t="s">
        <v>261</v>
      </c>
      <c r="E495" t="s">
        <v>1</v>
      </c>
      <c r="F495" t="s">
        <v>48</v>
      </c>
      <c r="G495" t="s">
        <v>163</v>
      </c>
      <c r="H495" t="s">
        <v>164</v>
      </c>
      <c r="I495" t="s">
        <v>111</v>
      </c>
      <c r="J495">
        <v>1</v>
      </c>
      <c r="K495">
        <v>240</v>
      </c>
      <c r="L495" t="s">
        <v>14</v>
      </c>
      <c r="M495" t="s">
        <v>58</v>
      </c>
      <c r="N495">
        <f t="shared" si="7"/>
        <v>240</v>
      </c>
    </row>
    <row r="496" spans="1:14" x14ac:dyDescent="0.3">
      <c r="A496" t="s">
        <v>797</v>
      </c>
      <c r="B496" s="4">
        <v>46251</v>
      </c>
      <c r="C496" t="s">
        <v>524</v>
      </c>
      <c r="D496" t="s">
        <v>525</v>
      </c>
      <c r="E496" t="s">
        <v>10</v>
      </c>
      <c r="F496" t="s">
        <v>90</v>
      </c>
      <c r="G496" t="s">
        <v>123</v>
      </c>
      <c r="H496" t="s">
        <v>124</v>
      </c>
      <c r="I496" t="s">
        <v>111</v>
      </c>
      <c r="J496">
        <v>2</v>
      </c>
      <c r="K496">
        <v>152</v>
      </c>
      <c r="L496" t="s">
        <v>17</v>
      </c>
      <c r="M496" t="s">
        <v>58</v>
      </c>
      <c r="N496">
        <f t="shared" si="7"/>
        <v>304</v>
      </c>
    </row>
    <row r="497" spans="1:14" x14ac:dyDescent="0.3">
      <c r="A497" t="s">
        <v>798</v>
      </c>
      <c r="B497" s="4">
        <v>46204</v>
      </c>
      <c r="C497" t="s">
        <v>524</v>
      </c>
      <c r="D497" t="s">
        <v>525</v>
      </c>
      <c r="E497" t="s">
        <v>10</v>
      </c>
      <c r="F497" t="s">
        <v>90</v>
      </c>
      <c r="G497" t="s">
        <v>205</v>
      </c>
      <c r="H497" t="s">
        <v>206</v>
      </c>
      <c r="I497" t="s">
        <v>51</v>
      </c>
      <c r="J497">
        <v>1</v>
      </c>
      <c r="K497">
        <v>590</v>
      </c>
      <c r="L497" t="s">
        <v>17</v>
      </c>
      <c r="M497" t="s">
        <v>105</v>
      </c>
      <c r="N497">
        <f t="shared" si="7"/>
        <v>590</v>
      </c>
    </row>
    <row r="498" spans="1:14" x14ac:dyDescent="0.3">
      <c r="A498" t="s">
        <v>799</v>
      </c>
      <c r="B498" s="4">
        <v>46049</v>
      </c>
      <c r="C498" t="s">
        <v>457</v>
      </c>
      <c r="D498" t="s">
        <v>458</v>
      </c>
      <c r="E498" t="s">
        <v>1</v>
      </c>
      <c r="F498" t="s">
        <v>48</v>
      </c>
      <c r="G498" t="s">
        <v>163</v>
      </c>
      <c r="H498" t="s">
        <v>164</v>
      </c>
      <c r="I498" t="s">
        <v>111</v>
      </c>
      <c r="J498">
        <v>1</v>
      </c>
      <c r="K498">
        <v>240</v>
      </c>
      <c r="L498" t="s">
        <v>4</v>
      </c>
      <c r="M498" t="s">
        <v>80</v>
      </c>
      <c r="N498">
        <f t="shared" si="7"/>
        <v>240</v>
      </c>
    </row>
    <row r="499" spans="1:14" x14ac:dyDescent="0.3">
      <c r="A499" t="s">
        <v>800</v>
      </c>
      <c r="B499" s="4">
        <v>46100</v>
      </c>
      <c r="C499" t="s">
        <v>77</v>
      </c>
      <c r="D499" t="s">
        <v>78</v>
      </c>
      <c r="E499" t="s">
        <v>6</v>
      </c>
      <c r="F499" t="s">
        <v>72</v>
      </c>
      <c r="G499" t="s">
        <v>239</v>
      </c>
      <c r="H499" t="s">
        <v>240</v>
      </c>
      <c r="I499" t="s">
        <v>63</v>
      </c>
      <c r="J499">
        <v>1</v>
      </c>
      <c r="K499">
        <v>684</v>
      </c>
      <c r="L499" t="s">
        <v>4</v>
      </c>
      <c r="M499" t="s">
        <v>105</v>
      </c>
      <c r="N499">
        <f t="shared" si="7"/>
        <v>684</v>
      </c>
    </row>
    <row r="500" spans="1:14" x14ac:dyDescent="0.3">
      <c r="A500" t="s">
        <v>801</v>
      </c>
      <c r="B500" s="4">
        <v>46116</v>
      </c>
      <c r="C500" t="s">
        <v>451</v>
      </c>
      <c r="D500" t="s">
        <v>452</v>
      </c>
      <c r="E500" t="s">
        <v>6</v>
      </c>
      <c r="F500" t="s">
        <v>72</v>
      </c>
      <c r="G500" t="s">
        <v>163</v>
      </c>
      <c r="H500" t="s">
        <v>164</v>
      </c>
      <c r="I500" t="s">
        <v>111</v>
      </c>
      <c r="J500">
        <v>1</v>
      </c>
      <c r="K500">
        <v>228</v>
      </c>
      <c r="L500" t="s">
        <v>7</v>
      </c>
      <c r="M500" t="s">
        <v>105</v>
      </c>
      <c r="N500">
        <f t="shared" si="7"/>
        <v>228</v>
      </c>
    </row>
    <row r="501" spans="1:14" x14ac:dyDescent="0.3">
      <c r="A501" t="s">
        <v>802</v>
      </c>
      <c r="B501" s="4">
        <v>46030</v>
      </c>
      <c r="C501" t="s">
        <v>189</v>
      </c>
      <c r="D501" t="s">
        <v>190</v>
      </c>
      <c r="E501" t="s">
        <v>6</v>
      </c>
      <c r="F501" t="s">
        <v>72</v>
      </c>
      <c r="G501" t="s">
        <v>67</v>
      </c>
      <c r="H501" t="s">
        <v>8</v>
      </c>
      <c r="I501" t="s">
        <v>68</v>
      </c>
      <c r="J501">
        <v>1</v>
      </c>
      <c r="K501">
        <v>1450</v>
      </c>
      <c r="L501" t="s">
        <v>14</v>
      </c>
      <c r="M501" t="s">
        <v>105</v>
      </c>
      <c r="N501">
        <f t="shared" si="7"/>
        <v>1450</v>
      </c>
    </row>
    <row r="502" spans="1:14" x14ac:dyDescent="0.3">
      <c r="A502" t="s">
        <v>803</v>
      </c>
      <c r="B502" s="4">
        <v>46102</v>
      </c>
      <c r="C502" t="s">
        <v>198</v>
      </c>
      <c r="D502" t="s">
        <v>199</v>
      </c>
      <c r="E502" t="s">
        <v>6</v>
      </c>
      <c r="F502" t="s">
        <v>72</v>
      </c>
      <c r="G502" t="s">
        <v>67</v>
      </c>
      <c r="H502" t="s">
        <v>8</v>
      </c>
      <c r="I502" t="s">
        <v>68</v>
      </c>
      <c r="J502">
        <v>4</v>
      </c>
      <c r="K502">
        <v>1450</v>
      </c>
      <c r="L502" t="s">
        <v>4</v>
      </c>
      <c r="M502" t="s">
        <v>80</v>
      </c>
      <c r="N502">
        <f t="shared" si="7"/>
        <v>5800</v>
      </c>
    </row>
    <row r="503" spans="1:14" x14ac:dyDescent="0.3">
      <c r="A503" t="s">
        <v>804</v>
      </c>
      <c r="B503" s="4">
        <v>46123</v>
      </c>
      <c r="C503" t="s">
        <v>126</v>
      </c>
      <c r="D503" t="s">
        <v>127</v>
      </c>
      <c r="E503" t="s">
        <v>15</v>
      </c>
      <c r="F503" t="s">
        <v>72</v>
      </c>
      <c r="G503" t="s">
        <v>49</v>
      </c>
      <c r="H503" t="s">
        <v>50</v>
      </c>
      <c r="I503" t="s">
        <v>51</v>
      </c>
      <c r="J503">
        <v>1</v>
      </c>
      <c r="K503">
        <v>95</v>
      </c>
      <c r="L503" t="s">
        <v>7</v>
      </c>
      <c r="M503" t="s">
        <v>52</v>
      </c>
      <c r="N503">
        <f t="shared" si="7"/>
        <v>95</v>
      </c>
    </row>
    <row r="504" spans="1:14" x14ac:dyDescent="0.3">
      <c r="A504" t="s">
        <v>805</v>
      </c>
      <c r="B504" s="4">
        <v>46091</v>
      </c>
      <c r="C504" t="s">
        <v>380</v>
      </c>
      <c r="D504" t="s">
        <v>381</v>
      </c>
      <c r="E504" t="s">
        <v>18</v>
      </c>
      <c r="F504" t="s">
        <v>72</v>
      </c>
      <c r="G504" t="s">
        <v>163</v>
      </c>
      <c r="H504" t="s">
        <v>164</v>
      </c>
      <c r="I504" t="s">
        <v>111</v>
      </c>
      <c r="J504">
        <v>2</v>
      </c>
      <c r="K504">
        <v>240</v>
      </c>
      <c r="L504" t="s">
        <v>9</v>
      </c>
      <c r="M504" t="s">
        <v>80</v>
      </c>
      <c r="N504">
        <f t="shared" si="7"/>
        <v>480</v>
      </c>
    </row>
    <row r="505" spans="1:14" x14ac:dyDescent="0.3">
      <c r="A505" t="s">
        <v>806</v>
      </c>
      <c r="B505" s="4">
        <v>46062</v>
      </c>
      <c r="C505" t="s">
        <v>192</v>
      </c>
      <c r="D505" t="s">
        <v>193</v>
      </c>
      <c r="E505" t="s">
        <v>18</v>
      </c>
      <c r="F505" t="s">
        <v>72</v>
      </c>
      <c r="G505" t="s">
        <v>163</v>
      </c>
      <c r="H505" t="s">
        <v>164</v>
      </c>
      <c r="I505" t="s">
        <v>111</v>
      </c>
      <c r="J505">
        <v>4</v>
      </c>
      <c r="K505">
        <v>228</v>
      </c>
      <c r="L505" t="s">
        <v>14</v>
      </c>
      <c r="M505" t="s">
        <v>80</v>
      </c>
      <c r="N505">
        <f t="shared" si="7"/>
        <v>912</v>
      </c>
    </row>
    <row r="506" spans="1:14" x14ac:dyDescent="0.3">
      <c r="A506" t="s">
        <v>807</v>
      </c>
      <c r="B506" s="4">
        <v>46129</v>
      </c>
      <c r="C506" t="s">
        <v>438</v>
      </c>
      <c r="D506" t="s">
        <v>439</v>
      </c>
      <c r="E506" t="s">
        <v>18</v>
      </c>
      <c r="F506" t="s">
        <v>72</v>
      </c>
      <c r="G506" t="s">
        <v>49</v>
      </c>
      <c r="H506" t="s">
        <v>50</v>
      </c>
      <c r="I506" t="s">
        <v>51</v>
      </c>
      <c r="J506">
        <v>8</v>
      </c>
      <c r="K506">
        <v>99.75</v>
      </c>
      <c r="L506" t="s">
        <v>9</v>
      </c>
      <c r="M506" t="s">
        <v>58</v>
      </c>
      <c r="N506">
        <f t="shared" si="7"/>
        <v>798</v>
      </c>
    </row>
    <row r="507" spans="1:14" x14ac:dyDescent="0.3">
      <c r="A507" t="s">
        <v>808</v>
      </c>
      <c r="B507" s="4">
        <v>46233</v>
      </c>
      <c r="C507" t="s">
        <v>149</v>
      </c>
      <c r="D507" t="s">
        <v>150</v>
      </c>
      <c r="E507" t="s">
        <v>6</v>
      </c>
      <c r="F507" t="s">
        <v>72</v>
      </c>
      <c r="G507" t="s">
        <v>109</v>
      </c>
      <c r="H507" t="s">
        <v>110</v>
      </c>
      <c r="I507" t="s">
        <v>111</v>
      </c>
      <c r="J507">
        <v>2</v>
      </c>
      <c r="K507">
        <v>336</v>
      </c>
      <c r="L507" t="s">
        <v>2</v>
      </c>
      <c r="M507" t="s">
        <v>105</v>
      </c>
      <c r="N507">
        <f t="shared" si="7"/>
        <v>672</v>
      </c>
    </row>
    <row r="508" spans="1:14" x14ac:dyDescent="0.3">
      <c r="A508" t="s">
        <v>809</v>
      </c>
      <c r="B508" s="4">
        <v>46145</v>
      </c>
      <c r="C508" t="s">
        <v>237</v>
      </c>
      <c r="D508" t="s">
        <v>238</v>
      </c>
      <c r="E508" t="s">
        <v>10</v>
      </c>
      <c r="F508" t="s">
        <v>72</v>
      </c>
      <c r="G508" t="s">
        <v>56</v>
      </c>
      <c r="H508" t="s">
        <v>3</v>
      </c>
      <c r="I508" t="s">
        <v>57</v>
      </c>
      <c r="J508">
        <v>1</v>
      </c>
      <c r="K508">
        <v>8200</v>
      </c>
      <c r="L508" t="s">
        <v>2</v>
      </c>
      <c r="M508" t="s">
        <v>58</v>
      </c>
      <c r="N508">
        <f t="shared" si="7"/>
        <v>8200</v>
      </c>
    </row>
    <row r="509" spans="1:14" x14ac:dyDescent="0.3">
      <c r="A509" t="s">
        <v>810</v>
      </c>
      <c r="B509" s="4">
        <v>46228</v>
      </c>
      <c r="C509" t="s">
        <v>541</v>
      </c>
      <c r="D509" t="s">
        <v>211</v>
      </c>
      <c r="E509" t="s">
        <v>18</v>
      </c>
      <c r="F509" t="s">
        <v>48</v>
      </c>
      <c r="G509" t="s">
        <v>84</v>
      </c>
      <c r="H509" t="s">
        <v>85</v>
      </c>
      <c r="I509" t="s">
        <v>51</v>
      </c>
      <c r="J509">
        <v>2</v>
      </c>
      <c r="K509">
        <v>798</v>
      </c>
      <c r="L509" t="s">
        <v>9</v>
      </c>
      <c r="M509" t="s">
        <v>58</v>
      </c>
      <c r="N509">
        <f t="shared" si="7"/>
        <v>1596</v>
      </c>
    </row>
    <row r="510" spans="1:14" x14ac:dyDescent="0.3">
      <c r="A510" t="s">
        <v>811</v>
      </c>
      <c r="B510" s="4">
        <v>46068</v>
      </c>
      <c r="C510" t="s">
        <v>143</v>
      </c>
      <c r="D510" t="s">
        <v>144</v>
      </c>
      <c r="E510" t="s">
        <v>15</v>
      </c>
      <c r="F510" t="s">
        <v>276</v>
      </c>
      <c r="G510" t="s">
        <v>73</v>
      </c>
      <c r="H510" t="s">
        <v>74</v>
      </c>
      <c r="I510" t="s">
        <v>75</v>
      </c>
      <c r="J510">
        <v>6</v>
      </c>
      <c r="K510">
        <v>420</v>
      </c>
      <c r="L510" t="s">
        <v>9</v>
      </c>
      <c r="M510" t="s">
        <v>52</v>
      </c>
      <c r="N510">
        <f t="shared" si="7"/>
        <v>2520</v>
      </c>
    </row>
    <row r="511" spans="1:14" x14ac:dyDescent="0.3">
      <c r="A511" t="s">
        <v>812</v>
      </c>
      <c r="B511" s="4">
        <v>46132</v>
      </c>
      <c r="C511" t="s">
        <v>373</v>
      </c>
      <c r="D511" t="s">
        <v>264</v>
      </c>
      <c r="E511" t="s">
        <v>15</v>
      </c>
      <c r="F511" t="s">
        <v>48</v>
      </c>
      <c r="G511" t="s">
        <v>163</v>
      </c>
      <c r="H511" t="s">
        <v>164</v>
      </c>
      <c r="I511" t="s">
        <v>111</v>
      </c>
      <c r="J511">
        <v>1</v>
      </c>
      <c r="K511">
        <v>240</v>
      </c>
      <c r="L511" t="s">
        <v>9</v>
      </c>
      <c r="M511" t="s">
        <v>52</v>
      </c>
      <c r="N511">
        <f t="shared" si="7"/>
        <v>240</v>
      </c>
    </row>
    <row r="512" spans="1:14" x14ac:dyDescent="0.3">
      <c r="A512" t="s">
        <v>813</v>
      </c>
      <c r="B512" s="4">
        <v>46105</v>
      </c>
      <c r="C512" t="s">
        <v>332</v>
      </c>
      <c r="D512" t="s">
        <v>333</v>
      </c>
      <c r="E512" t="s">
        <v>1</v>
      </c>
      <c r="F512" t="s">
        <v>72</v>
      </c>
      <c r="G512" t="s">
        <v>91</v>
      </c>
      <c r="H512" t="s">
        <v>13</v>
      </c>
      <c r="I512" t="s">
        <v>57</v>
      </c>
      <c r="J512">
        <v>6</v>
      </c>
      <c r="K512">
        <v>2945</v>
      </c>
      <c r="L512" t="s">
        <v>14</v>
      </c>
      <c r="M512" t="s">
        <v>105</v>
      </c>
      <c r="N512">
        <f t="shared" si="7"/>
        <v>17670</v>
      </c>
    </row>
    <row r="513" spans="1:14" x14ac:dyDescent="0.3">
      <c r="A513" t="s">
        <v>814</v>
      </c>
      <c r="B513" s="4">
        <v>46165</v>
      </c>
      <c r="C513" t="s">
        <v>538</v>
      </c>
      <c r="D513" t="s">
        <v>539</v>
      </c>
      <c r="E513" t="s">
        <v>15</v>
      </c>
      <c r="F513" t="s">
        <v>48</v>
      </c>
      <c r="G513" t="s">
        <v>109</v>
      </c>
      <c r="H513" t="s">
        <v>110</v>
      </c>
      <c r="I513" t="s">
        <v>111</v>
      </c>
      <c r="J513">
        <v>1</v>
      </c>
      <c r="K513">
        <v>320</v>
      </c>
      <c r="L513" t="s">
        <v>17</v>
      </c>
      <c r="M513" t="s">
        <v>105</v>
      </c>
      <c r="N513">
        <f t="shared" si="7"/>
        <v>320</v>
      </c>
    </row>
    <row r="514" spans="1:14" x14ac:dyDescent="0.3">
      <c r="A514" t="s">
        <v>815</v>
      </c>
      <c r="B514" s="4">
        <v>46225</v>
      </c>
      <c r="C514" t="s">
        <v>273</v>
      </c>
      <c r="D514" t="s">
        <v>274</v>
      </c>
      <c r="E514" t="s">
        <v>1</v>
      </c>
      <c r="F514" t="s">
        <v>72</v>
      </c>
      <c r="G514" t="s">
        <v>136</v>
      </c>
      <c r="H514" t="s">
        <v>137</v>
      </c>
      <c r="I514" t="s">
        <v>111</v>
      </c>
      <c r="J514">
        <v>3</v>
      </c>
      <c r="K514">
        <v>89.25</v>
      </c>
      <c r="L514" t="s">
        <v>17</v>
      </c>
      <c r="M514" t="s">
        <v>105</v>
      </c>
      <c r="N514">
        <f t="shared" si="7"/>
        <v>267.75</v>
      </c>
    </row>
    <row r="515" spans="1:14" x14ac:dyDescent="0.3">
      <c r="A515" t="s">
        <v>816</v>
      </c>
      <c r="B515" s="4">
        <v>46062</v>
      </c>
      <c r="C515" t="s">
        <v>89</v>
      </c>
      <c r="D515" t="s">
        <v>12</v>
      </c>
      <c r="E515" t="s">
        <v>1</v>
      </c>
      <c r="F515" t="s">
        <v>90</v>
      </c>
      <c r="G515" t="s">
        <v>95</v>
      </c>
      <c r="H515" t="s">
        <v>96</v>
      </c>
      <c r="I515" t="s">
        <v>75</v>
      </c>
      <c r="J515">
        <v>1</v>
      </c>
      <c r="K515">
        <v>682.5</v>
      </c>
      <c r="L515" t="s">
        <v>17</v>
      </c>
      <c r="M515" t="s">
        <v>58</v>
      </c>
      <c r="N515">
        <f t="shared" ref="N515:N578" si="8">J515*K515</f>
        <v>682.5</v>
      </c>
    </row>
    <row r="516" spans="1:14" x14ac:dyDescent="0.3">
      <c r="A516" t="s">
        <v>817</v>
      </c>
      <c r="B516" s="4">
        <v>46168</v>
      </c>
      <c r="C516" t="s">
        <v>54</v>
      </c>
      <c r="D516" t="s">
        <v>55</v>
      </c>
      <c r="E516" t="s">
        <v>1</v>
      </c>
      <c r="F516" t="s">
        <v>48</v>
      </c>
      <c r="G516" t="s">
        <v>67</v>
      </c>
      <c r="H516" t="s">
        <v>8</v>
      </c>
      <c r="I516" t="s">
        <v>68</v>
      </c>
      <c r="J516">
        <v>4</v>
      </c>
      <c r="K516">
        <v>1450</v>
      </c>
      <c r="L516" t="s">
        <v>17</v>
      </c>
      <c r="M516" t="s">
        <v>80</v>
      </c>
      <c r="N516">
        <f t="shared" si="8"/>
        <v>5800</v>
      </c>
    </row>
    <row r="517" spans="1:14" x14ac:dyDescent="0.3">
      <c r="A517" t="s">
        <v>818</v>
      </c>
      <c r="B517" s="4">
        <v>46091</v>
      </c>
      <c r="C517" t="s">
        <v>285</v>
      </c>
      <c r="D517" t="s">
        <v>47</v>
      </c>
      <c r="E517" t="s">
        <v>6</v>
      </c>
      <c r="F517" t="s">
        <v>72</v>
      </c>
      <c r="G517" t="s">
        <v>95</v>
      </c>
      <c r="H517" t="s">
        <v>96</v>
      </c>
      <c r="I517" t="s">
        <v>75</v>
      </c>
      <c r="J517">
        <v>2</v>
      </c>
      <c r="K517">
        <v>650</v>
      </c>
      <c r="L517" t="s">
        <v>17</v>
      </c>
      <c r="M517" t="s">
        <v>105</v>
      </c>
      <c r="N517">
        <f t="shared" si="8"/>
        <v>1300</v>
      </c>
    </row>
    <row r="518" spans="1:14" x14ac:dyDescent="0.3">
      <c r="A518" t="s">
        <v>819</v>
      </c>
      <c r="B518" s="4">
        <v>46094</v>
      </c>
      <c r="C518" t="s">
        <v>466</v>
      </c>
      <c r="D518" t="s">
        <v>147</v>
      </c>
      <c r="E518" t="s">
        <v>10</v>
      </c>
      <c r="F518" t="s">
        <v>48</v>
      </c>
      <c r="G518" t="s">
        <v>123</v>
      </c>
      <c r="H518" t="s">
        <v>124</v>
      </c>
      <c r="I518" t="s">
        <v>111</v>
      </c>
      <c r="J518">
        <v>2</v>
      </c>
      <c r="K518">
        <v>168</v>
      </c>
      <c r="L518" t="s">
        <v>17</v>
      </c>
      <c r="M518" t="s">
        <v>105</v>
      </c>
      <c r="N518">
        <f t="shared" si="8"/>
        <v>336</v>
      </c>
    </row>
    <row r="519" spans="1:14" x14ac:dyDescent="0.3">
      <c r="A519" t="s">
        <v>820</v>
      </c>
      <c r="B519" s="4">
        <v>46251</v>
      </c>
      <c r="C519" t="s">
        <v>466</v>
      </c>
      <c r="D519" t="s">
        <v>147</v>
      </c>
      <c r="E519" t="s">
        <v>10</v>
      </c>
      <c r="F519" t="s">
        <v>48</v>
      </c>
      <c r="G519" t="s">
        <v>109</v>
      </c>
      <c r="H519" t="s">
        <v>110</v>
      </c>
      <c r="I519" t="s">
        <v>111</v>
      </c>
      <c r="J519">
        <v>5</v>
      </c>
      <c r="K519">
        <v>320</v>
      </c>
      <c r="L519" t="s">
        <v>14</v>
      </c>
      <c r="M519" t="s">
        <v>105</v>
      </c>
      <c r="N519">
        <f t="shared" si="8"/>
        <v>1600</v>
      </c>
    </row>
    <row r="520" spans="1:14" x14ac:dyDescent="0.3">
      <c r="A520" t="s">
        <v>821</v>
      </c>
      <c r="B520" s="4">
        <v>46253</v>
      </c>
      <c r="C520" t="s">
        <v>273</v>
      </c>
      <c r="D520" t="s">
        <v>274</v>
      </c>
      <c r="E520" t="s">
        <v>1</v>
      </c>
      <c r="F520" t="s">
        <v>72</v>
      </c>
      <c r="G520" t="s">
        <v>91</v>
      </c>
      <c r="H520" t="s">
        <v>13</v>
      </c>
      <c r="I520" t="s">
        <v>57</v>
      </c>
      <c r="J520">
        <v>2</v>
      </c>
      <c r="K520">
        <v>3100</v>
      </c>
      <c r="L520" t="s">
        <v>7</v>
      </c>
      <c r="M520" t="s">
        <v>80</v>
      </c>
      <c r="N520">
        <f t="shared" si="8"/>
        <v>6200</v>
      </c>
    </row>
    <row r="521" spans="1:14" x14ac:dyDescent="0.3">
      <c r="A521" t="s">
        <v>822</v>
      </c>
      <c r="B521" s="4">
        <v>46243</v>
      </c>
      <c r="C521" t="s">
        <v>152</v>
      </c>
      <c r="D521" t="s">
        <v>153</v>
      </c>
      <c r="E521" t="s">
        <v>15</v>
      </c>
      <c r="F521" t="s">
        <v>48</v>
      </c>
      <c r="G521" t="s">
        <v>205</v>
      </c>
      <c r="H521" t="s">
        <v>206</v>
      </c>
      <c r="I521" t="s">
        <v>51</v>
      </c>
      <c r="J521">
        <v>3</v>
      </c>
      <c r="K521">
        <v>560.5</v>
      </c>
      <c r="L521" t="s">
        <v>9</v>
      </c>
      <c r="M521" t="s">
        <v>52</v>
      </c>
      <c r="N521">
        <f t="shared" si="8"/>
        <v>1681.5</v>
      </c>
    </row>
    <row r="522" spans="1:14" x14ac:dyDescent="0.3">
      <c r="A522" t="s">
        <v>823</v>
      </c>
      <c r="B522" s="4">
        <v>46222</v>
      </c>
      <c r="C522" t="s">
        <v>514</v>
      </c>
      <c r="D522" t="s">
        <v>515</v>
      </c>
      <c r="E522" t="s">
        <v>18</v>
      </c>
      <c r="F522" t="s">
        <v>72</v>
      </c>
      <c r="G522" t="s">
        <v>73</v>
      </c>
      <c r="H522" t="s">
        <v>74</v>
      </c>
      <c r="I522" t="s">
        <v>75</v>
      </c>
      <c r="J522">
        <v>4</v>
      </c>
      <c r="K522">
        <v>420</v>
      </c>
      <c r="L522" t="s">
        <v>2</v>
      </c>
      <c r="M522" t="s">
        <v>105</v>
      </c>
      <c r="N522">
        <f t="shared" si="8"/>
        <v>1680</v>
      </c>
    </row>
    <row r="523" spans="1:14" x14ac:dyDescent="0.3">
      <c r="A523" t="s">
        <v>824</v>
      </c>
      <c r="B523" s="4">
        <v>46072</v>
      </c>
      <c r="C523" t="s">
        <v>267</v>
      </c>
      <c r="D523" t="s">
        <v>268</v>
      </c>
      <c r="E523" t="s">
        <v>19</v>
      </c>
      <c r="F523" t="s">
        <v>72</v>
      </c>
      <c r="G523" t="s">
        <v>183</v>
      </c>
      <c r="H523" t="s">
        <v>184</v>
      </c>
      <c r="I523" t="s">
        <v>111</v>
      </c>
      <c r="J523">
        <v>2</v>
      </c>
      <c r="K523">
        <v>180</v>
      </c>
      <c r="L523" t="s">
        <v>2</v>
      </c>
      <c r="M523" t="s">
        <v>105</v>
      </c>
      <c r="N523">
        <f t="shared" si="8"/>
        <v>360</v>
      </c>
    </row>
    <row r="524" spans="1:14" x14ac:dyDescent="0.3">
      <c r="A524" t="s">
        <v>825</v>
      </c>
      <c r="B524" s="4">
        <v>46246</v>
      </c>
      <c r="C524" t="s">
        <v>270</v>
      </c>
      <c r="D524" t="s">
        <v>271</v>
      </c>
      <c r="E524" t="s">
        <v>18</v>
      </c>
      <c r="F524" t="s">
        <v>48</v>
      </c>
      <c r="G524" t="s">
        <v>84</v>
      </c>
      <c r="H524" t="s">
        <v>85</v>
      </c>
      <c r="I524" t="s">
        <v>51</v>
      </c>
      <c r="J524">
        <v>2</v>
      </c>
      <c r="K524">
        <v>722</v>
      </c>
      <c r="L524" t="s">
        <v>17</v>
      </c>
      <c r="M524" t="s">
        <v>52</v>
      </c>
      <c r="N524">
        <f t="shared" si="8"/>
        <v>1444</v>
      </c>
    </row>
    <row r="525" spans="1:14" x14ac:dyDescent="0.3">
      <c r="A525" t="s">
        <v>826</v>
      </c>
      <c r="B525" s="4">
        <v>46205</v>
      </c>
      <c r="C525" t="s">
        <v>385</v>
      </c>
      <c r="D525" t="s">
        <v>386</v>
      </c>
      <c r="E525" t="s">
        <v>15</v>
      </c>
      <c r="F525" t="s">
        <v>48</v>
      </c>
      <c r="G525" t="s">
        <v>239</v>
      </c>
      <c r="H525" t="s">
        <v>240</v>
      </c>
      <c r="I525" t="s">
        <v>63</v>
      </c>
      <c r="J525">
        <v>2</v>
      </c>
      <c r="K525">
        <v>720</v>
      </c>
      <c r="L525" t="s">
        <v>17</v>
      </c>
      <c r="M525" t="s">
        <v>58</v>
      </c>
      <c r="N525">
        <f t="shared" si="8"/>
        <v>1440</v>
      </c>
    </row>
    <row r="526" spans="1:14" x14ac:dyDescent="0.3">
      <c r="A526" t="s">
        <v>827</v>
      </c>
      <c r="B526" s="4">
        <v>46248</v>
      </c>
      <c r="C526" t="s">
        <v>60</v>
      </c>
      <c r="D526" t="s">
        <v>5</v>
      </c>
      <c r="E526" t="s">
        <v>6</v>
      </c>
      <c r="F526" t="s">
        <v>48</v>
      </c>
      <c r="G526" t="s">
        <v>79</v>
      </c>
      <c r="H526" t="s">
        <v>11</v>
      </c>
      <c r="I526" t="s">
        <v>57</v>
      </c>
      <c r="J526">
        <v>4</v>
      </c>
      <c r="K526">
        <v>4940</v>
      </c>
      <c r="L526" t="s">
        <v>9</v>
      </c>
      <c r="M526" t="s">
        <v>58</v>
      </c>
      <c r="N526">
        <f t="shared" si="8"/>
        <v>19760</v>
      </c>
    </row>
    <row r="527" spans="1:14" x14ac:dyDescent="0.3">
      <c r="A527" t="s">
        <v>828</v>
      </c>
      <c r="B527" s="4">
        <v>46259</v>
      </c>
      <c r="C527" t="s">
        <v>178</v>
      </c>
      <c r="D527" t="s">
        <v>179</v>
      </c>
      <c r="E527" t="s">
        <v>10</v>
      </c>
      <c r="F527" t="s">
        <v>48</v>
      </c>
      <c r="G527" t="s">
        <v>163</v>
      </c>
      <c r="H527" t="s">
        <v>164</v>
      </c>
      <c r="I527" t="s">
        <v>111</v>
      </c>
      <c r="J527">
        <v>2</v>
      </c>
      <c r="K527">
        <v>240</v>
      </c>
      <c r="L527" t="s">
        <v>7</v>
      </c>
      <c r="M527" t="s">
        <v>80</v>
      </c>
      <c r="N527">
        <f t="shared" si="8"/>
        <v>480</v>
      </c>
    </row>
    <row r="528" spans="1:14" x14ac:dyDescent="0.3">
      <c r="A528" t="s">
        <v>829</v>
      </c>
      <c r="B528" s="4">
        <v>46153</v>
      </c>
      <c r="C528" t="s">
        <v>204</v>
      </c>
      <c r="D528" t="s">
        <v>71</v>
      </c>
      <c r="E528" t="s">
        <v>15</v>
      </c>
      <c r="F528" t="s">
        <v>90</v>
      </c>
      <c r="G528" t="s">
        <v>73</v>
      </c>
      <c r="H528" t="s">
        <v>74</v>
      </c>
      <c r="I528" t="s">
        <v>75</v>
      </c>
      <c r="J528">
        <v>2</v>
      </c>
      <c r="K528">
        <v>399</v>
      </c>
      <c r="L528" t="s">
        <v>2</v>
      </c>
      <c r="M528" t="s">
        <v>58</v>
      </c>
      <c r="N528">
        <f t="shared" si="8"/>
        <v>798</v>
      </c>
    </row>
    <row r="529" spans="1:14" x14ac:dyDescent="0.3">
      <c r="A529" t="s">
        <v>830</v>
      </c>
      <c r="B529" s="4">
        <v>46149</v>
      </c>
      <c r="C529" t="s">
        <v>427</v>
      </c>
      <c r="D529" t="s">
        <v>428</v>
      </c>
      <c r="E529" t="s">
        <v>1</v>
      </c>
      <c r="F529" t="s">
        <v>48</v>
      </c>
      <c r="G529" t="s">
        <v>201</v>
      </c>
      <c r="H529" t="s">
        <v>202</v>
      </c>
      <c r="I529" t="s">
        <v>63</v>
      </c>
      <c r="J529">
        <v>3</v>
      </c>
      <c r="K529">
        <v>480</v>
      </c>
      <c r="L529" t="s">
        <v>4</v>
      </c>
      <c r="M529" t="s">
        <v>80</v>
      </c>
      <c r="N529">
        <f t="shared" si="8"/>
        <v>1440</v>
      </c>
    </row>
    <row r="530" spans="1:14" x14ac:dyDescent="0.3">
      <c r="A530" t="s">
        <v>831</v>
      </c>
      <c r="B530" s="4">
        <v>46238</v>
      </c>
      <c r="C530" t="s">
        <v>492</v>
      </c>
      <c r="D530" t="s">
        <v>493</v>
      </c>
      <c r="E530" t="s">
        <v>6</v>
      </c>
      <c r="F530" t="s">
        <v>72</v>
      </c>
      <c r="G530" t="s">
        <v>123</v>
      </c>
      <c r="H530" t="s">
        <v>124</v>
      </c>
      <c r="I530" t="s">
        <v>111</v>
      </c>
      <c r="J530">
        <v>5</v>
      </c>
      <c r="K530">
        <v>152</v>
      </c>
      <c r="L530" t="s">
        <v>7</v>
      </c>
      <c r="M530" t="s">
        <v>58</v>
      </c>
      <c r="N530">
        <f t="shared" si="8"/>
        <v>760</v>
      </c>
    </row>
    <row r="531" spans="1:14" x14ac:dyDescent="0.3">
      <c r="A531" t="s">
        <v>832</v>
      </c>
      <c r="B531" s="4">
        <v>46065</v>
      </c>
      <c r="C531" t="s">
        <v>98</v>
      </c>
      <c r="D531" t="s">
        <v>16</v>
      </c>
      <c r="E531" t="s">
        <v>1</v>
      </c>
      <c r="F531" t="s">
        <v>48</v>
      </c>
      <c r="G531" t="s">
        <v>163</v>
      </c>
      <c r="H531" t="s">
        <v>164</v>
      </c>
      <c r="I531" t="s">
        <v>111</v>
      </c>
      <c r="J531">
        <v>5</v>
      </c>
      <c r="K531">
        <v>240</v>
      </c>
      <c r="L531" t="s">
        <v>9</v>
      </c>
      <c r="M531" t="s">
        <v>52</v>
      </c>
      <c r="N531">
        <f t="shared" si="8"/>
        <v>1200</v>
      </c>
    </row>
    <row r="532" spans="1:14" x14ac:dyDescent="0.3">
      <c r="A532" t="s">
        <v>833</v>
      </c>
      <c r="B532" s="4">
        <v>46092</v>
      </c>
      <c r="C532" t="s">
        <v>589</v>
      </c>
      <c r="D532" t="s">
        <v>358</v>
      </c>
      <c r="E532" t="s">
        <v>18</v>
      </c>
      <c r="F532" t="s">
        <v>48</v>
      </c>
      <c r="G532" t="s">
        <v>79</v>
      </c>
      <c r="H532" t="s">
        <v>11</v>
      </c>
      <c r="I532" t="s">
        <v>57</v>
      </c>
      <c r="J532">
        <v>3</v>
      </c>
      <c r="K532">
        <v>5460</v>
      </c>
      <c r="L532" t="s">
        <v>14</v>
      </c>
      <c r="M532" t="s">
        <v>58</v>
      </c>
      <c r="N532">
        <f t="shared" si="8"/>
        <v>16380</v>
      </c>
    </row>
    <row r="533" spans="1:14" x14ac:dyDescent="0.3">
      <c r="A533" t="s">
        <v>834</v>
      </c>
      <c r="B533" s="4">
        <v>46189</v>
      </c>
      <c r="C533" t="s">
        <v>741</v>
      </c>
      <c r="D533" t="s">
        <v>159</v>
      </c>
      <c r="E533" t="s">
        <v>10</v>
      </c>
      <c r="F533" t="s">
        <v>48</v>
      </c>
      <c r="G533" t="s">
        <v>208</v>
      </c>
      <c r="H533" t="s">
        <v>22</v>
      </c>
      <c r="I533" t="s">
        <v>68</v>
      </c>
      <c r="J533">
        <v>1</v>
      </c>
      <c r="K533">
        <v>2090</v>
      </c>
      <c r="L533" t="s">
        <v>9</v>
      </c>
      <c r="M533" t="s">
        <v>80</v>
      </c>
      <c r="N533">
        <f t="shared" si="8"/>
        <v>2090</v>
      </c>
    </row>
    <row r="534" spans="1:14" x14ac:dyDescent="0.3">
      <c r="A534" t="s">
        <v>835</v>
      </c>
      <c r="B534" s="4">
        <v>46206</v>
      </c>
      <c r="C534" t="s">
        <v>267</v>
      </c>
      <c r="D534" t="s">
        <v>268</v>
      </c>
      <c r="E534" t="s">
        <v>19</v>
      </c>
      <c r="F534" t="s">
        <v>72</v>
      </c>
      <c r="G534" t="s">
        <v>239</v>
      </c>
      <c r="H534" t="s">
        <v>240</v>
      </c>
      <c r="I534" t="s">
        <v>63</v>
      </c>
      <c r="J534">
        <v>8</v>
      </c>
      <c r="K534">
        <v>720</v>
      </c>
      <c r="L534" t="s">
        <v>4</v>
      </c>
      <c r="M534" t="s">
        <v>105</v>
      </c>
      <c r="N534">
        <f t="shared" si="8"/>
        <v>5760</v>
      </c>
    </row>
    <row r="535" spans="1:14" x14ac:dyDescent="0.3">
      <c r="A535" t="s">
        <v>836</v>
      </c>
      <c r="B535" s="4">
        <v>46141</v>
      </c>
      <c r="C535" t="s">
        <v>166</v>
      </c>
      <c r="D535" t="s">
        <v>167</v>
      </c>
      <c r="E535" t="s">
        <v>1</v>
      </c>
      <c r="F535" t="s">
        <v>48</v>
      </c>
      <c r="G535" t="s">
        <v>201</v>
      </c>
      <c r="H535" t="s">
        <v>202</v>
      </c>
      <c r="I535" t="s">
        <v>63</v>
      </c>
      <c r="J535">
        <v>1</v>
      </c>
      <c r="K535">
        <v>480</v>
      </c>
      <c r="L535" t="s">
        <v>7</v>
      </c>
      <c r="M535" t="s">
        <v>105</v>
      </c>
      <c r="N535">
        <f t="shared" si="8"/>
        <v>480</v>
      </c>
    </row>
    <row r="536" spans="1:14" x14ac:dyDescent="0.3">
      <c r="A536" t="s">
        <v>837</v>
      </c>
      <c r="B536" s="4">
        <v>46025</v>
      </c>
      <c r="C536" t="s">
        <v>591</v>
      </c>
      <c r="D536" t="s">
        <v>592</v>
      </c>
      <c r="E536" t="s">
        <v>15</v>
      </c>
      <c r="F536" t="s">
        <v>72</v>
      </c>
      <c r="G536" t="s">
        <v>67</v>
      </c>
      <c r="H536" t="s">
        <v>8</v>
      </c>
      <c r="I536" t="s">
        <v>68</v>
      </c>
      <c r="J536">
        <v>2</v>
      </c>
      <c r="K536">
        <v>1450</v>
      </c>
      <c r="L536" t="s">
        <v>17</v>
      </c>
      <c r="M536" t="s">
        <v>80</v>
      </c>
      <c r="N536">
        <f t="shared" si="8"/>
        <v>2900</v>
      </c>
    </row>
    <row r="537" spans="1:14" x14ac:dyDescent="0.3">
      <c r="A537" t="s">
        <v>838</v>
      </c>
      <c r="B537" s="4">
        <v>46147</v>
      </c>
      <c r="C537" t="s">
        <v>514</v>
      </c>
      <c r="D537" t="s">
        <v>515</v>
      </c>
      <c r="E537" t="s">
        <v>18</v>
      </c>
      <c r="F537" t="s">
        <v>72</v>
      </c>
      <c r="G537" t="s">
        <v>67</v>
      </c>
      <c r="H537" t="s">
        <v>8</v>
      </c>
      <c r="I537" t="s">
        <v>68</v>
      </c>
      <c r="J537">
        <v>1</v>
      </c>
      <c r="K537">
        <v>1450</v>
      </c>
      <c r="L537" t="s">
        <v>2</v>
      </c>
      <c r="M537" t="s">
        <v>80</v>
      </c>
      <c r="N537">
        <f t="shared" si="8"/>
        <v>1450</v>
      </c>
    </row>
    <row r="538" spans="1:14" x14ac:dyDescent="0.3">
      <c r="A538" t="s">
        <v>839</v>
      </c>
      <c r="B538" s="4">
        <v>46090</v>
      </c>
      <c r="C538" t="s">
        <v>295</v>
      </c>
      <c r="D538" t="s">
        <v>296</v>
      </c>
      <c r="E538" t="s">
        <v>19</v>
      </c>
      <c r="F538" t="s">
        <v>72</v>
      </c>
      <c r="G538" t="s">
        <v>91</v>
      </c>
      <c r="H538" t="s">
        <v>13</v>
      </c>
      <c r="I538" t="s">
        <v>57</v>
      </c>
      <c r="J538">
        <v>3</v>
      </c>
      <c r="K538">
        <v>3100</v>
      </c>
      <c r="L538" t="s">
        <v>9</v>
      </c>
      <c r="M538" t="s">
        <v>52</v>
      </c>
      <c r="N538">
        <f t="shared" si="8"/>
        <v>9300</v>
      </c>
    </row>
    <row r="539" spans="1:14" x14ac:dyDescent="0.3">
      <c r="A539" t="s">
        <v>840</v>
      </c>
      <c r="B539" s="4">
        <v>46254</v>
      </c>
      <c r="C539" t="s">
        <v>841</v>
      </c>
      <c r="D539" t="s">
        <v>842</v>
      </c>
      <c r="E539" t="s">
        <v>19</v>
      </c>
      <c r="F539" t="s">
        <v>48</v>
      </c>
      <c r="G539" t="s">
        <v>56</v>
      </c>
      <c r="H539" t="s">
        <v>3</v>
      </c>
      <c r="I539" t="s">
        <v>57</v>
      </c>
      <c r="J539">
        <v>1</v>
      </c>
      <c r="K539">
        <v>8610</v>
      </c>
      <c r="L539" t="s">
        <v>4</v>
      </c>
      <c r="M539" t="s">
        <v>80</v>
      </c>
      <c r="N539">
        <f t="shared" si="8"/>
        <v>8610</v>
      </c>
    </row>
    <row r="540" spans="1:14" x14ac:dyDescent="0.3">
      <c r="A540" t="s">
        <v>843</v>
      </c>
      <c r="B540" s="4">
        <v>46208</v>
      </c>
      <c r="C540" t="s">
        <v>394</v>
      </c>
      <c r="D540" t="s">
        <v>395</v>
      </c>
      <c r="E540" t="s">
        <v>15</v>
      </c>
      <c r="F540" t="s">
        <v>48</v>
      </c>
      <c r="G540" t="s">
        <v>208</v>
      </c>
      <c r="H540" t="s">
        <v>22</v>
      </c>
      <c r="I540" t="s">
        <v>68</v>
      </c>
      <c r="J540">
        <v>1</v>
      </c>
      <c r="K540">
        <v>2200</v>
      </c>
      <c r="L540" t="s">
        <v>7</v>
      </c>
      <c r="M540" t="s">
        <v>80</v>
      </c>
      <c r="N540">
        <f t="shared" si="8"/>
        <v>2200</v>
      </c>
    </row>
    <row r="541" spans="1:14" x14ac:dyDescent="0.3">
      <c r="A541" t="s">
        <v>844</v>
      </c>
      <c r="B541" s="4">
        <v>46127</v>
      </c>
      <c r="C541" t="s">
        <v>174</v>
      </c>
      <c r="D541" t="s">
        <v>175</v>
      </c>
      <c r="E541" t="s">
        <v>10</v>
      </c>
      <c r="F541" t="s">
        <v>72</v>
      </c>
      <c r="G541" t="s">
        <v>95</v>
      </c>
      <c r="H541" t="s">
        <v>96</v>
      </c>
      <c r="I541" t="s">
        <v>75</v>
      </c>
      <c r="J541">
        <v>2</v>
      </c>
      <c r="K541">
        <v>617.5</v>
      </c>
      <c r="L541" t="s">
        <v>17</v>
      </c>
      <c r="M541" t="s">
        <v>52</v>
      </c>
      <c r="N541">
        <f t="shared" si="8"/>
        <v>1235</v>
      </c>
    </row>
    <row r="542" spans="1:14" x14ac:dyDescent="0.3">
      <c r="A542" t="s">
        <v>845</v>
      </c>
      <c r="B542" s="4">
        <v>46199</v>
      </c>
      <c r="C542" t="s">
        <v>524</v>
      </c>
      <c r="D542" t="s">
        <v>525</v>
      </c>
      <c r="E542" t="s">
        <v>10</v>
      </c>
      <c r="F542" t="s">
        <v>90</v>
      </c>
      <c r="G542" t="s">
        <v>56</v>
      </c>
      <c r="H542" t="s">
        <v>3</v>
      </c>
      <c r="I542" t="s">
        <v>57</v>
      </c>
      <c r="J542">
        <v>2</v>
      </c>
      <c r="K542">
        <v>8200</v>
      </c>
      <c r="L542" t="s">
        <v>2</v>
      </c>
      <c r="M542" t="s">
        <v>80</v>
      </c>
      <c r="N542">
        <f t="shared" si="8"/>
        <v>16400</v>
      </c>
    </row>
    <row r="543" spans="1:14" x14ac:dyDescent="0.3">
      <c r="A543" t="s">
        <v>846</v>
      </c>
      <c r="B543" s="4">
        <v>46240</v>
      </c>
      <c r="C543" t="s">
        <v>541</v>
      </c>
      <c r="D543" t="s">
        <v>211</v>
      </c>
      <c r="E543" t="s">
        <v>18</v>
      </c>
      <c r="F543" t="s">
        <v>48</v>
      </c>
      <c r="G543" t="s">
        <v>239</v>
      </c>
      <c r="H543" t="s">
        <v>240</v>
      </c>
      <c r="I543" t="s">
        <v>63</v>
      </c>
      <c r="J543">
        <v>1</v>
      </c>
      <c r="K543">
        <v>756</v>
      </c>
      <c r="L543" t="s">
        <v>9</v>
      </c>
      <c r="M543" t="s">
        <v>80</v>
      </c>
      <c r="N543">
        <f t="shared" si="8"/>
        <v>756</v>
      </c>
    </row>
    <row r="544" spans="1:14" x14ac:dyDescent="0.3">
      <c r="A544" t="s">
        <v>847</v>
      </c>
      <c r="B544" s="4">
        <v>46056</v>
      </c>
      <c r="C544" t="s">
        <v>230</v>
      </c>
      <c r="D544" t="s">
        <v>231</v>
      </c>
      <c r="E544" t="s">
        <v>1</v>
      </c>
      <c r="F544" t="s">
        <v>48</v>
      </c>
      <c r="G544" t="s">
        <v>205</v>
      </c>
      <c r="H544" t="s">
        <v>206</v>
      </c>
      <c r="I544" t="s">
        <v>51</v>
      </c>
      <c r="J544">
        <v>3</v>
      </c>
      <c r="K544">
        <v>619.5</v>
      </c>
      <c r="L544" t="s">
        <v>9</v>
      </c>
      <c r="M544" t="s">
        <v>80</v>
      </c>
      <c r="N544">
        <f t="shared" si="8"/>
        <v>1858.5</v>
      </c>
    </row>
    <row r="545" spans="1:14" x14ac:dyDescent="0.3">
      <c r="A545" t="s">
        <v>848</v>
      </c>
      <c r="B545" s="4">
        <v>46080</v>
      </c>
      <c r="C545" t="s">
        <v>353</v>
      </c>
      <c r="D545" t="s">
        <v>354</v>
      </c>
      <c r="E545" t="s">
        <v>18</v>
      </c>
      <c r="F545" t="s">
        <v>90</v>
      </c>
      <c r="G545" t="s">
        <v>183</v>
      </c>
      <c r="H545" t="s">
        <v>184</v>
      </c>
      <c r="I545" t="s">
        <v>111</v>
      </c>
      <c r="J545">
        <v>2</v>
      </c>
      <c r="K545">
        <v>180</v>
      </c>
      <c r="L545" t="s">
        <v>4</v>
      </c>
      <c r="M545" t="s">
        <v>80</v>
      </c>
      <c r="N545">
        <f t="shared" si="8"/>
        <v>360</v>
      </c>
    </row>
    <row r="546" spans="1:14" x14ac:dyDescent="0.3">
      <c r="A546" t="s">
        <v>849</v>
      </c>
      <c r="B546" s="4">
        <v>46173</v>
      </c>
      <c r="C546" t="s">
        <v>357</v>
      </c>
      <c r="D546" t="s">
        <v>677</v>
      </c>
      <c r="E546" t="s">
        <v>15</v>
      </c>
      <c r="F546" t="s">
        <v>90</v>
      </c>
      <c r="G546" t="s">
        <v>91</v>
      </c>
      <c r="H546" t="s">
        <v>13</v>
      </c>
      <c r="I546" t="s">
        <v>57</v>
      </c>
      <c r="J546">
        <v>1</v>
      </c>
      <c r="K546">
        <v>2945</v>
      </c>
      <c r="L546" t="s">
        <v>4</v>
      </c>
      <c r="M546" t="s">
        <v>58</v>
      </c>
      <c r="N546">
        <f t="shared" si="8"/>
        <v>2945</v>
      </c>
    </row>
    <row r="547" spans="1:14" x14ac:dyDescent="0.3">
      <c r="A547" t="s">
        <v>850</v>
      </c>
      <c r="B547" s="4">
        <v>46144</v>
      </c>
      <c r="C547" t="s">
        <v>295</v>
      </c>
      <c r="D547" t="s">
        <v>851</v>
      </c>
      <c r="E547" t="s">
        <v>19</v>
      </c>
      <c r="F547" t="s">
        <v>72</v>
      </c>
      <c r="G547" t="s">
        <v>183</v>
      </c>
      <c r="H547" t="s">
        <v>184</v>
      </c>
      <c r="I547" t="s">
        <v>111</v>
      </c>
      <c r="J547">
        <v>5</v>
      </c>
      <c r="K547">
        <v>189</v>
      </c>
      <c r="L547" t="s">
        <v>14</v>
      </c>
      <c r="M547" t="s">
        <v>105</v>
      </c>
      <c r="N547">
        <f t="shared" si="8"/>
        <v>945</v>
      </c>
    </row>
    <row r="548" spans="1:14" x14ac:dyDescent="0.3">
      <c r="A548" t="s">
        <v>852</v>
      </c>
      <c r="B548" s="4">
        <v>46129</v>
      </c>
      <c r="C548" t="s">
        <v>316</v>
      </c>
      <c r="D548" t="s">
        <v>317</v>
      </c>
      <c r="E548" t="s">
        <v>6</v>
      </c>
      <c r="F548" t="s">
        <v>72</v>
      </c>
      <c r="G548" t="s">
        <v>239</v>
      </c>
      <c r="H548" t="s">
        <v>240</v>
      </c>
      <c r="I548" t="s">
        <v>63</v>
      </c>
      <c r="J548">
        <v>1</v>
      </c>
      <c r="K548">
        <v>720</v>
      </c>
      <c r="L548" t="s">
        <v>9</v>
      </c>
      <c r="M548" t="s">
        <v>52</v>
      </c>
      <c r="N548">
        <f t="shared" si="8"/>
        <v>720</v>
      </c>
    </row>
    <row r="549" spans="1:14" x14ac:dyDescent="0.3">
      <c r="A549" t="s">
        <v>853</v>
      </c>
      <c r="B549" s="4">
        <v>46169</v>
      </c>
      <c r="C549" t="s">
        <v>524</v>
      </c>
      <c r="D549" t="s">
        <v>525</v>
      </c>
      <c r="E549" t="s">
        <v>10</v>
      </c>
      <c r="F549" t="s">
        <v>90</v>
      </c>
      <c r="G549" t="s">
        <v>95</v>
      </c>
      <c r="H549" t="s">
        <v>96</v>
      </c>
      <c r="I549" t="s">
        <v>75</v>
      </c>
      <c r="J549">
        <v>5</v>
      </c>
      <c r="K549">
        <v>650</v>
      </c>
      <c r="L549" t="s">
        <v>9</v>
      </c>
      <c r="M549" t="s">
        <v>80</v>
      </c>
      <c r="N549">
        <f t="shared" si="8"/>
        <v>3250</v>
      </c>
    </row>
    <row r="550" spans="1:14" x14ac:dyDescent="0.3">
      <c r="A550" t="s">
        <v>854</v>
      </c>
      <c r="B550" s="4">
        <v>46223</v>
      </c>
      <c r="C550" t="s">
        <v>295</v>
      </c>
      <c r="D550" t="s">
        <v>296</v>
      </c>
      <c r="E550" t="s">
        <v>19</v>
      </c>
      <c r="F550" t="s">
        <v>72</v>
      </c>
      <c r="G550" t="s">
        <v>123</v>
      </c>
      <c r="H550" t="s">
        <v>124</v>
      </c>
      <c r="I550" t="s">
        <v>111</v>
      </c>
      <c r="J550">
        <v>1</v>
      </c>
      <c r="K550">
        <v>160</v>
      </c>
      <c r="L550" t="s">
        <v>2</v>
      </c>
      <c r="M550" t="s">
        <v>52</v>
      </c>
      <c r="N550">
        <f t="shared" si="8"/>
        <v>160</v>
      </c>
    </row>
    <row r="551" spans="1:14" x14ac:dyDescent="0.3">
      <c r="A551" t="s">
        <v>855</v>
      </c>
      <c r="B551" s="4">
        <v>46025</v>
      </c>
      <c r="C551" t="s">
        <v>155</v>
      </c>
      <c r="D551" t="s">
        <v>156</v>
      </c>
      <c r="E551" t="s">
        <v>18</v>
      </c>
      <c r="F551" t="s">
        <v>72</v>
      </c>
      <c r="G551" t="s">
        <v>163</v>
      </c>
      <c r="H551" t="s">
        <v>164</v>
      </c>
      <c r="I551" t="s">
        <v>111</v>
      </c>
      <c r="J551">
        <v>2</v>
      </c>
      <c r="K551">
        <v>240</v>
      </c>
      <c r="L551" t="s">
        <v>9</v>
      </c>
      <c r="M551" t="s">
        <v>52</v>
      </c>
      <c r="N551">
        <f t="shared" si="8"/>
        <v>480</v>
      </c>
    </row>
    <row r="552" spans="1:14" x14ac:dyDescent="0.3">
      <c r="A552" t="s">
        <v>856</v>
      </c>
      <c r="B552" s="4">
        <v>46057</v>
      </c>
      <c r="C552" t="s">
        <v>170</v>
      </c>
      <c r="D552" t="s">
        <v>171</v>
      </c>
      <c r="E552" t="s">
        <v>15</v>
      </c>
      <c r="F552" t="s">
        <v>72</v>
      </c>
      <c r="G552" t="s">
        <v>183</v>
      </c>
      <c r="H552" t="s">
        <v>184</v>
      </c>
      <c r="I552" t="s">
        <v>111</v>
      </c>
      <c r="J552">
        <v>3</v>
      </c>
      <c r="K552">
        <v>180</v>
      </c>
      <c r="L552" t="s">
        <v>4</v>
      </c>
      <c r="M552" t="s">
        <v>105</v>
      </c>
      <c r="N552">
        <f t="shared" si="8"/>
        <v>540</v>
      </c>
    </row>
    <row r="553" spans="1:14" x14ac:dyDescent="0.3">
      <c r="A553" t="s">
        <v>857</v>
      </c>
      <c r="B553" s="4">
        <v>46025</v>
      </c>
      <c r="C553" t="s">
        <v>615</v>
      </c>
      <c r="D553" t="s">
        <v>118</v>
      </c>
      <c r="E553" t="s">
        <v>6</v>
      </c>
      <c r="F553" t="s">
        <v>48</v>
      </c>
      <c r="G553" t="s">
        <v>109</v>
      </c>
      <c r="H553" t="s">
        <v>110</v>
      </c>
      <c r="I553" t="s">
        <v>111</v>
      </c>
      <c r="J553">
        <v>1</v>
      </c>
      <c r="K553">
        <v>320</v>
      </c>
      <c r="L553" t="s">
        <v>2</v>
      </c>
      <c r="M553" t="s">
        <v>80</v>
      </c>
      <c r="N553">
        <f t="shared" si="8"/>
        <v>320</v>
      </c>
    </row>
    <row r="554" spans="1:14" x14ac:dyDescent="0.3">
      <c r="A554" t="s">
        <v>858</v>
      </c>
      <c r="B554" s="4">
        <v>46217</v>
      </c>
      <c r="C554" t="s">
        <v>305</v>
      </c>
      <c r="D554" t="s">
        <v>306</v>
      </c>
      <c r="E554" t="s">
        <v>10</v>
      </c>
      <c r="F554" t="s">
        <v>90</v>
      </c>
      <c r="G554" t="s">
        <v>61</v>
      </c>
      <c r="H554" t="s">
        <v>62</v>
      </c>
      <c r="I554" t="s">
        <v>63</v>
      </c>
      <c r="J554">
        <v>4</v>
      </c>
      <c r="K554">
        <v>110</v>
      </c>
      <c r="L554" t="s">
        <v>14</v>
      </c>
      <c r="M554" t="s">
        <v>58</v>
      </c>
      <c r="N554">
        <f t="shared" si="8"/>
        <v>440</v>
      </c>
    </row>
    <row r="555" spans="1:14" x14ac:dyDescent="0.3">
      <c r="A555" t="s">
        <v>859</v>
      </c>
      <c r="B555" s="4">
        <v>46081</v>
      </c>
      <c r="C555" t="s">
        <v>310</v>
      </c>
      <c r="D555" t="s">
        <v>311</v>
      </c>
      <c r="E555" t="s">
        <v>19</v>
      </c>
      <c r="F555" t="s">
        <v>72</v>
      </c>
      <c r="G555" t="s">
        <v>56</v>
      </c>
      <c r="H555" t="s">
        <v>3</v>
      </c>
      <c r="I555" t="s">
        <v>57</v>
      </c>
      <c r="J555">
        <v>3</v>
      </c>
      <c r="K555">
        <v>8200</v>
      </c>
      <c r="L555" t="s">
        <v>7</v>
      </c>
      <c r="M555" t="s">
        <v>52</v>
      </c>
      <c r="N555">
        <f t="shared" si="8"/>
        <v>24600</v>
      </c>
    </row>
    <row r="556" spans="1:14" x14ac:dyDescent="0.3">
      <c r="A556" t="s">
        <v>860</v>
      </c>
      <c r="B556" s="4">
        <v>46152</v>
      </c>
      <c r="C556" t="s">
        <v>667</v>
      </c>
      <c r="D556" t="s">
        <v>668</v>
      </c>
      <c r="E556" t="s">
        <v>15</v>
      </c>
      <c r="F556" t="s">
        <v>72</v>
      </c>
      <c r="G556" t="s">
        <v>109</v>
      </c>
      <c r="H556" t="s">
        <v>110</v>
      </c>
      <c r="I556" t="s">
        <v>111</v>
      </c>
      <c r="J556">
        <v>2</v>
      </c>
      <c r="K556">
        <v>320</v>
      </c>
      <c r="L556" t="s">
        <v>14</v>
      </c>
      <c r="M556" t="s">
        <v>58</v>
      </c>
      <c r="N556">
        <f t="shared" si="8"/>
        <v>640</v>
      </c>
    </row>
    <row r="557" spans="1:14" x14ac:dyDescent="0.3">
      <c r="A557" t="s">
        <v>861</v>
      </c>
      <c r="B557" s="4">
        <v>46140</v>
      </c>
      <c r="C557" t="s">
        <v>514</v>
      </c>
      <c r="D557" t="s">
        <v>515</v>
      </c>
      <c r="E557" t="s">
        <v>18</v>
      </c>
      <c r="F557" t="s">
        <v>72</v>
      </c>
      <c r="G557" t="s">
        <v>239</v>
      </c>
      <c r="H557" t="s">
        <v>240</v>
      </c>
      <c r="I557" t="s">
        <v>63</v>
      </c>
      <c r="J557">
        <v>3</v>
      </c>
      <c r="K557">
        <v>756</v>
      </c>
      <c r="L557" t="s">
        <v>17</v>
      </c>
      <c r="M557" t="s">
        <v>80</v>
      </c>
      <c r="N557">
        <f t="shared" si="8"/>
        <v>2268</v>
      </c>
    </row>
    <row r="558" spans="1:14" x14ac:dyDescent="0.3">
      <c r="A558" t="s">
        <v>862</v>
      </c>
      <c r="B558" s="4">
        <v>46111</v>
      </c>
      <c r="C558" t="s">
        <v>390</v>
      </c>
      <c r="D558" t="s">
        <v>391</v>
      </c>
      <c r="E558" t="s">
        <v>18</v>
      </c>
      <c r="F558" t="s">
        <v>90</v>
      </c>
      <c r="G558" t="s">
        <v>208</v>
      </c>
      <c r="H558" t="s">
        <v>22</v>
      </c>
      <c r="I558" t="s">
        <v>68</v>
      </c>
      <c r="J558">
        <v>10</v>
      </c>
      <c r="K558">
        <v>2200</v>
      </c>
      <c r="L558" t="s">
        <v>7</v>
      </c>
      <c r="M558" t="s">
        <v>52</v>
      </c>
      <c r="N558">
        <f t="shared" si="8"/>
        <v>22000</v>
      </c>
    </row>
    <row r="559" spans="1:14" x14ac:dyDescent="0.3">
      <c r="A559" t="s">
        <v>863</v>
      </c>
      <c r="B559" s="4">
        <v>46028</v>
      </c>
      <c r="C559" t="s">
        <v>585</v>
      </c>
      <c r="D559" t="s">
        <v>182</v>
      </c>
      <c r="E559" t="s">
        <v>6</v>
      </c>
      <c r="F559" t="s">
        <v>90</v>
      </c>
      <c r="G559" t="s">
        <v>109</v>
      </c>
      <c r="H559" t="s">
        <v>110</v>
      </c>
      <c r="I559" t="s">
        <v>111</v>
      </c>
      <c r="J559">
        <v>1</v>
      </c>
      <c r="K559">
        <v>320</v>
      </c>
      <c r="L559" t="s">
        <v>9</v>
      </c>
      <c r="M559" t="s">
        <v>58</v>
      </c>
      <c r="N559">
        <f t="shared" si="8"/>
        <v>320</v>
      </c>
    </row>
    <row r="560" spans="1:14" x14ac:dyDescent="0.3">
      <c r="A560" t="s">
        <v>864</v>
      </c>
      <c r="B560" s="4">
        <v>46067</v>
      </c>
      <c r="C560" t="s">
        <v>369</v>
      </c>
      <c r="D560" t="s">
        <v>370</v>
      </c>
      <c r="E560" t="s">
        <v>15</v>
      </c>
      <c r="F560" t="s">
        <v>90</v>
      </c>
      <c r="G560" t="s">
        <v>84</v>
      </c>
      <c r="H560" t="s">
        <v>85</v>
      </c>
      <c r="I560" t="s">
        <v>51</v>
      </c>
      <c r="J560">
        <v>1</v>
      </c>
      <c r="K560">
        <v>722</v>
      </c>
      <c r="L560" t="s">
        <v>4</v>
      </c>
      <c r="M560" t="s">
        <v>80</v>
      </c>
      <c r="N560">
        <f t="shared" si="8"/>
        <v>722</v>
      </c>
    </row>
    <row r="561" spans="1:14" x14ac:dyDescent="0.3">
      <c r="A561" t="s">
        <v>865</v>
      </c>
      <c r="B561" s="4">
        <v>46183</v>
      </c>
      <c r="C561" t="s">
        <v>510</v>
      </c>
      <c r="D561" t="s">
        <v>12</v>
      </c>
      <c r="E561" t="s">
        <v>10</v>
      </c>
      <c r="F561" t="s">
        <v>90</v>
      </c>
      <c r="G561" t="s">
        <v>49</v>
      </c>
      <c r="H561" t="s">
        <v>50</v>
      </c>
      <c r="I561" t="s">
        <v>51</v>
      </c>
      <c r="J561">
        <v>1</v>
      </c>
      <c r="K561">
        <v>90.25</v>
      </c>
      <c r="L561" t="s">
        <v>2</v>
      </c>
      <c r="M561" t="s">
        <v>58</v>
      </c>
      <c r="N561">
        <f t="shared" si="8"/>
        <v>90.25</v>
      </c>
    </row>
    <row r="562" spans="1:14" x14ac:dyDescent="0.3">
      <c r="A562" t="s">
        <v>866</v>
      </c>
      <c r="B562" s="4">
        <v>46036</v>
      </c>
      <c r="C562" t="s">
        <v>353</v>
      </c>
      <c r="D562" t="s">
        <v>354</v>
      </c>
      <c r="E562" t="s">
        <v>18</v>
      </c>
      <c r="F562" t="s">
        <v>90</v>
      </c>
      <c r="G562" t="s">
        <v>136</v>
      </c>
      <c r="H562" t="s">
        <v>137</v>
      </c>
      <c r="I562" t="s">
        <v>111</v>
      </c>
      <c r="J562">
        <v>3</v>
      </c>
      <c r="K562">
        <v>85</v>
      </c>
      <c r="L562" t="s">
        <v>4</v>
      </c>
      <c r="M562" t="s">
        <v>105</v>
      </c>
      <c r="N562">
        <f t="shared" si="8"/>
        <v>255</v>
      </c>
    </row>
    <row r="563" spans="1:14" x14ac:dyDescent="0.3">
      <c r="A563" t="s">
        <v>867</v>
      </c>
      <c r="B563" s="4">
        <v>46088</v>
      </c>
      <c r="C563" t="s">
        <v>470</v>
      </c>
      <c r="D563" t="s">
        <v>471</v>
      </c>
      <c r="E563" t="s">
        <v>1</v>
      </c>
      <c r="F563" t="s">
        <v>90</v>
      </c>
      <c r="G563" t="s">
        <v>49</v>
      </c>
      <c r="H563" t="s">
        <v>50</v>
      </c>
      <c r="I563" t="s">
        <v>51</v>
      </c>
      <c r="J563">
        <v>2</v>
      </c>
      <c r="K563">
        <v>95</v>
      </c>
      <c r="L563" t="s">
        <v>9</v>
      </c>
      <c r="M563" t="s">
        <v>58</v>
      </c>
      <c r="N563">
        <f t="shared" si="8"/>
        <v>190</v>
      </c>
    </row>
    <row r="564" spans="1:14" x14ac:dyDescent="0.3">
      <c r="A564" t="s">
        <v>868</v>
      </c>
      <c r="B564" s="4">
        <v>46193</v>
      </c>
      <c r="C564" t="s">
        <v>514</v>
      </c>
      <c r="D564" t="s">
        <v>515</v>
      </c>
      <c r="E564" t="s">
        <v>18</v>
      </c>
      <c r="F564" t="s">
        <v>72</v>
      </c>
      <c r="G564" t="s">
        <v>95</v>
      </c>
      <c r="H564" t="s">
        <v>96</v>
      </c>
      <c r="I564" t="s">
        <v>75</v>
      </c>
      <c r="J564">
        <v>1</v>
      </c>
      <c r="K564">
        <v>682.5</v>
      </c>
      <c r="L564" t="s">
        <v>7</v>
      </c>
      <c r="M564" t="s">
        <v>52</v>
      </c>
      <c r="N564">
        <f t="shared" si="8"/>
        <v>682.5</v>
      </c>
    </row>
    <row r="565" spans="1:14" x14ac:dyDescent="0.3">
      <c r="A565" t="s">
        <v>869</v>
      </c>
      <c r="B565" s="4">
        <v>46154</v>
      </c>
      <c r="C565" t="s">
        <v>161</v>
      </c>
      <c r="D565" t="s">
        <v>162</v>
      </c>
      <c r="E565" t="s">
        <v>10</v>
      </c>
      <c r="F565" t="s">
        <v>72</v>
      </c>
      <c r="G565" t="s">
        <v>67</v>
      </c>
      <c r="H565" t="s">
        <v>8</v>
      </c>
      <c r="I565" t="s">
        <v>68</v>
      </c>
      <c r="J565">
        <v>3</v>
      </c>
      <c r="K565">
        <v>1377.5</v>
      </c>
      <c r="L565" t="s">
        <v>7</v>
      </c>
      <c r="M565" t="s">
        <v>58</v>
      </c>
      <c r="N565">
        <f t="shared" si="8"/>
        <v>4132.5</v>
      </c>
    </row>
    <row r="566" spans="1:14" x14ac:dyDescent="0.3">
      <c r="A566" t="s">
        <v>870</v>
      </c>
      <c r="B566" s="4">
        <v>46151</v>
      </c>
      <c r="C566" t="s">
        <v>65</v>
      </c>
      <c r="D566" t="s">
        <v>66</v>
      </c>
      <c r="E566" t="s">
        <v>1</v>
      </c>
      <c r="F566" t="s">
        <v>48</v>
      </c>
      <c r="G566" t="s">
        <v>67</v>
      </c>
      <c r="H566" t="s">
        <v>8</v>
      </c>
      <c r="I566" t="s">
        <v>68</v>
      </c>
      <c r="J566">
        <v>1</v>
      </c>
      <c r="K566">
        <v>1450</v>
      </c>
      <c r="L566" t="s">
        <v>7</v>
      </c>
      <c r="M566" t="s">
        <v>52</v>
      </c>
      <c r="N566">
        <f t="shared" si="8"/>
        <v>1450</v>
      </c>
    </row>
    <row r="567" spans="1:14" x14ac:dyDescent="0.3">
      <c r="A567" t="s">
        <v>871</v>
      </c>
      <c r="B567" s="4">
        <v>46099</v>
      </c>
      <c r="C567" t="s">
        <v>433</v>
      </c>
      <c r="D567" t="s">
        <v>130</v>
      </c>
      <c r="E567" t="s">
        <v>10</v>
      </c>
      <c r="F567" t="s">
        <v>48</v>
      </c>
      <c r="G567" t="s">
        <v>95</v>
      </c>
      <c r="H567" t="s">
        <v>96</v>
      </c>
      <c r="I567" t="s">
        <v>75</v>
      </c>
      <c r="J567">
        <v>1</v>
      </c>
      <c r="K567">
        <v>682.5</v>
      </c>
      <c r="L567" t="s">
        <v>4</v>
      </c>
      <c r="M567" t="s">
        <v>52</v>
      </c>
      <c r="N567">
        <f t="shared" si="8"/>
        <v>682.5</v>
      </c>
    </row>
    <row r="568" spans="1:14" x14ac:dyDescent="0.3">
      <c r="A568" t="s">
        <v>872</v>
      </c>
      <c r="B568" s="4">
        <v>46108</v>
      </c>
      <c r="C568" t="s">
        <v>873</v>
      </c>
      <c r="D568" t="s">
        <v>5</v>
      </c>
      <c r="E568" t="s">
        <v>15</v>
      </c>
      <c r="F568" t="s">
        <v>90</v>
      </c>
      <c r="G568" t="s">
        <v>205</v>
      </c>
      <c r="H568" t="s">
        <v>206</v>
      </c>
      <c r="I568" t="s">
        <v>51</v>
      </c>
      <c r="J568">
        <v>1</v>
      </c>
      <c r="K568">
        <v>560.5</v>
      </c>
      <c r="L568" t="s">
        <v>2</v>
      </c>
      <c r="M568" t="s">
        <v>58</v>
      </c>
      <c r="N568">
        <f t="shared" si="8"/>
        <v>560.5</v>
      </c>
    </row>
    <row r="569" spans="1:14" x14ac:dyDescent="0.3">
      <c r="A569" t="s">
        <v>874</v>
      </c>
      <c r="B569" s="4">
        <v>46237</v>
      </c>
      <c r="C569" t="s">
        <v>174</v>
      </c>
      <c r="D569" t="s">
        <v>175</v>
      </c>
      <c r="E569" t="s">
        <v>10</v>
      </c>
      <c r="F569" t="s">
        <v>72</v>
      </c>
      <c r="G569" t="s">
        <v>67</v>
      </c>
      <c r="H569" t="s">
        <v>8</v>
      </c>
      <c r="I569" t="s">
        <v>68</v>
      </c>
      <c r="J569">
        <v>2</v>
      </c>
      <c r="K569">
        <v>1450</v>
      </c>
      <c r="L569" t="s">
        <v>9</v>
      </c>
      <c r="M569" t="s">
        <v>58</v>
      </c>
      <c r="N569">
        <f t="shared" si="8"/>
        <v>2900</v>
      </c>
    </row>
    <row r="570" spans="1:14" x14ac:dyDescent="0.3">
      <c r="A570" t="s">
        <v>875</v>
      </c>
      <c r="B570" s="4">
        <v>46043</v>
      </c>
      <c r="C570" t="s">
        <v>46</v>
      </c>
      <c r="D570" t="s">
        <v>47</v>
      </c>
      <c r="E570" t="s">
        <v>1</v>
      </c>
      <c r="F570" t="s">
        <v>48</v>
      </c>
      <c r="G570" t="s">
        <v>84</v>
      </c>
      <c r="H570" t="s">
        <v>85</v>
      </c>
      <c r="I570" t="s">
        <v>51</v>
      </c>
      <c r="J570">
        <v>3</v>
      </c>
      <c r="K570">
        <v>722</v>
      </c>
      <c r="L570" t="s">
        <v>7</v>
      </c>
      <c r="M570" t="s">
        <v>52</v>
      </c>
      <c r="N570">
        <f t="shared" si="8"/>
        <v>2166</v>
      </c>
    </row>
    <row r="571" spans="1:14" x14ac:dyDescent="0.3">
      <c r="A571" t="s">
        <v>876</v>
      </c>
      <c r="B571" s="4">
        <v>46091</v>
      </c>
      <c r="C571" t="s">
        <v>178</v>
      </c>
      <c r="D571" t="s">
        <v>179</v>
      </c>
      <c r="E571" t="s">
        <v>10</v>
      </c>
      <c r="F571" t="s">
        <v>48</v>
      </c>
      <c r="G571" t="s">
        <v>239</v>
      </c>
      <c r="H571" t="s">
        <v>240</v>
      </c>
      <c r="I571" t="s">
        <v>63</v>
      </c>
      <c r="J571">
        <v>2</v>
      </c>
      <c r="K571">
        <v>684</v>
      </c>
      <c r="L571" t="s">
        <v>9</v>
      </c>
      <c r="M571" t="s">
        <v>58</v>
      </c>
      <c r="N571">
        <f t="shared" si="8"/>
        <v>1368</v>
      </c>
    </row>
    <row r="572" spans="1:14" x14ac:dyDescent="0.3">
      <c r="A572" t="s">
        <v>877</v>
      </c>
      <c r="B572" s="4">
        <v>46116</v>
      </c>
      <c r="C572" t="s">
        <v>166</v>
      </c>
      <c r="D572" t="s">
        <v>167</v>
      </c>
      <c r="E572" t="s">
        <v>1</v>
      </c>
      <c r="F572" t="s">
        <v>48</v>
      </c>
      <c r="G572" t="s">
        <v>239</v>
      </c>
      <c r="H572" t="s">
        <v>240</v>
      </c>
      <c r="I572" t="s">
        <v>63</v>
      </c>
      <c r="J572">
        <v>4</v>
      </c>
      <c r="K572">
        <v>720</v>
      </c>
      <c r="L572" t="s">
        <v>4</v>
      </c>
      <c r="M572" t="s">
        <v>58</v>
      </c>
      <c r="N572">
        <f t="shared" si="8"/>
        <v>2880</v>
      </c>
    </row>
    <row r="573" spans="1:14" x14ac:dyDescent="0.3">
      <c r="A573" t="s">
        <v>878</v>
      </c>
      <c r="B573" s="4">
        <v>46026</v>
      </c>
      <c r="C573" t="s">
        <v>230</v>
      </c>
      <c r="D573" t="s">
        <v>231</v>
      </c>
      <c r="E573" t="s">
        <v>1</v>
      </c>
      <c r="F573" t="s">
        <v>48</v>
      </c>
      <c r="G573" t="s">
        <v>163</v>
      </c>
      <c r="H573" t="s">
        <v>164</v>
      </c>
      <c r="I573" t="s">
        <v>111</v>
      </c>
      <c r="J573">
        <v>5</v>
      </c>
      <c r="K573">
        <v>240</v>
      </c>
      <c r="L573" t="s">
        <v>7</v>
      </c>
      <c r="M573" t="s">
        <v>80</v>
      </c>
      <c r="N573">
        <f t="shared" si="8"/>
        <v>1200</v>
      </c>
    </row>
    <row r="574" spans="1:14" x14ac:dyDescent="0.3">
      <c r="A574" t="s">
        <v>879</v>
      </c>
      <c r="B574" s="4">
        <v>46183</v>
      </c>
      <c r="C574" t="s">
        <v>146</v>
      </c>
      <c r="D574" t="s">
        <v>147</v>
      </c>
      <c r="E574" t="s">
        <v>15</v>
      </c>
      <c r="F574" t="s">
        <v>90</v>
      </c>
      <c r="G574" t="s">
        <v>73</v>
      </c>
      <c r="H574" t="s">
        <v>74</v>
      </c>
      <c r="I574" t="s">
        <v>75</v>
      </c>
      <c r="J574">
        <v>1</v>
      </c>
      <c r="K574">
        <v>399</v>
      </c>
      <c r="L574" t="s">
        <v>7</v>
      </c>
      <c r="M574" t="s">
        <v>80</v>
      </c>
      <c r="N574">
        <f t="shared" si="8"/>
        <v>399</v>
      </c>
    </row>
    <row r="575" spans="1:14" x14ac:dyDescent="0.3">
      <c r="A575" t="s">
        <v>880</v>
      </c>
      <c r="B575" s="4">
        <v>46126</v>
      </c>
      <c r="C575" t="s">
        <v>573</v>
      </c>
      <c r="D575" t="s">
        <v>20</v>
      </c>
      <c r="E575" t="s">
        <v>10</v>
      </c>
      <c r="F575" t="s">
        <v>48</v>
      </c>
      <c r="G575" t="s">
        <v>67</v>
      </c>
      <c r="H575" t="s">
        <v>8</v>
      </c>
      <c r="I575" t="s">
        <v>68</v>
      </c>
      <c r="J575">
        <v>2</v>
      </c>
      <c r="K575">
        <v>1450</v>
      </c>
      <c r="L575" t="s">
        <v>7</v>
      </c>
      <c r="M575" t="s">
        <v>105</v>
      </c>
      <c r="N575">
        <f t="shared" si="8"/>
        <v>2900</v>
      </c>
    </row>
    <row r="576" spans="1:14" x14ac:dyDescent="0.3">
      <c r="A576" t="s">
        <v>881</v>
      </c>
      <c r="B576" s="4">
        <v>46228</v>
      </c>
      <c r="C576" t="s">
        <v>873</v>
      </c>
      <c r="D576" t="s">
        <v>5</v>
      </c>
      <c r="E576" t="s">
        <v>15</v>
      </c>
      <c r="F576" t="s">
        <v>90</v>
      </c>
      <c r="G576" t="s">
        <v>205</v>
      </c>
      <c r="H576" t="s">
        <v>206</v>
      </c>
      <c r="I576" t="s">
        <v>51</v>
      </c>
      <c r="J576">
        <v>2</v>
      </c>
      <c r="K576">
        <v>590</v>
      </c>
      <c r="L576" t="s">
        <v>14</v>
      </c>
      <c r="M576" t="s">
        <v>52</v>
      </c>
      <c r="N576">
        <f t="shared" si="8"/>
        <v>1180</v>
      </c>
    </row>
    <row r="577" spans="1:14" x14ac:dyDescent="0.3">
      <c r="A577" t="s">
        <v>882</v>
      </c>
      <c r="B577" s="4">
        <v>46240</v>
      </c>
      <c r="C577" t="s">
        <v>234</v>
      </c>
      <c r="D577" t="s">
        <v>235</v>
      </c>
      <c r="E577" t="s">
        <v>15</v>
      </c>
      <c r="F577" t="s">
        <v>90</v>
      </c>
      <c r="G577" t="s">
        <v>163</v>
      </c>
      <c r="H577" t="s">
        <v>164</v>
      </c>
      <c r="I577" t="s">
        <v>111</v>
      </c>
      <c r="J577">
        <v>1</v>
      </c>
      <c r="K577">
        <v>240</v>
      </c>
      <c r="L577" t="s">
        <v>17</v>
      </c>
      <c r="M577" t="s">
        <v>105</v>
      </c>
      <c r="N577">
        <f t="shared" si="8"/>
        <v>240</v>
      </c>
    </row>
    <row r="578" spans="1:14" x14ac:dyDescent="0.3">
      <c r="A578" t="s">
        <v>883</v>
      </c>
      <c r="B578" s="4">
        <v>46070</v>
      </c>
      <c r="C578" t="s">
        <v>344</v>
      </c>
      <c r="D578" t="s">
        <v>345</v>
      </c>
      <c r="E578" t="s">
        <v>6</v>
      </c>
      <c r="F578" t="s">
        <v>90</v>
      </c>
      <c r="G578" t="s">
        <v>73</v>
      </c>
      <c r="H578" t="s">
        <v>74</v>
      </c>
      <c r="I578" t="s">
        <v>75</v>
      </c>
      <c r="J578">
        <v>3</v>
      </c>
      <c r="K578">
        <v>420</v>
      </c>
      <c r="L578" t="s">
        <v>17</v>
      </c>
      <c r="M578" t="s">
        <v>58</v>
      </c>
      <c r="N578">
        <f t="shared" si="8"/>
        <v>1260</v>
      </c>
    </row>
    <row r="579" spans="1:14" x14ac:dyDescent="0.3">
      <c r="A579" t="s">
        <v>884</v>
      </c>
      <c r="B579" s="4">
        <v>46147</v>
      </c>
      <c r="C579" t="s">
        <v>295</v>
      </c>
      <c r="D579" t="s">
        <v>296</v>
      </c>
      <c r="E579" t="s">
        <v>19</v>
      </c>
      <c r="F579" t="s">
        <v>72</v>
      </c>
      <c r="G579" t="s">
        <v>208</v>
      </c>
      <c r="H579" t="s">
        <v>22</v>
      </c>
      <c r="I579" t="s">
        <v>68</v>
      </c>
      <c r="J579">
        <v>6</v>
      </c>
      <c r="K579">
        <v>2090</v>
      </c>
      <c r="L579" t="s">
        <v>4</v>
      </c>
      <c r="M579" t="s">
        <v>105</v>
      </c>
      <c r="N579">
        <f t="shared" ref="N579:N642" si="9">J579*K579</f>
        <v>12540</v>
      </c>
    </row>
    <row r="580" spans="1:14" x14ac:dyDescent="0.3">
      <c r="A580" t="s">
        <v>885</v>
      </c>
      <c r="B580" s="4">
        <v>46090</v>
      </c>
      <c r="C580" t="s">
        <v>129</v>
      </c>
      <c r="D580" t="s">
        <v>130</v>
      </c>
      <c r="E580" t="s">
        <v>15</v>
      </c>
      <c r="F580" t="s">
        <v>90</v>
      </c>
      <c r="G580" t="s">
        <v>183</v>
      </c>
      <c r="H580" t="s">
        <v>184</v>
      </c>
      <c r="I580" t="s">
        <v>111</v>
      </c>
      <c r="J580">
        <v>3</v>
      </c>
      <c r="K580">
        <v>171</v>
      </c>
      <c r="L580" t="s">
        <v>2</v>
      </c>
      <c r="M580" t="s">
        <v>52</v>
      </c>
      <c r="N580">
        <f t="shared" si="9"/>
        <v>513</v>
      </c>
    </row>
    <row r="581" spans="1:14" x14ac:dyDescent="0.3">
      <c r="A581" t="s">
        <v>886</v>
      </c>
      <c r="B581" s="4">
        <v>46156</v>
      </c>
      <c r="C581" t="s">
        <v>114</v>
      </c>
      <c r="D581" t="s">
        <v>115</v>
      </c>
      <c r="E581" t="s">
        <v>18</v>
      </c>
      <c r="F581" t="s">
        <v>72</v>
      </c>
      <c r="G581" t="s">
        <v>61</v>
      </c>
      <c r="H581" t="s">
        <v>62</v>
      </c>
      <c r="I581" t="s">
        <v>63</v>
      </c>
      <c r="J581">
        <v>2</v>
      </c>
      <c r="K581">
        <v>115.5</v>
      </c>
      <c r="L581" t="s">
        <v>14</v>
      </c>
      <c r="M581" t="s">
        <v>105</v>
      </c>
      <c r="N581">
        <f t="shared" si="9"/>
        <v>231</v>
      </c>
    </row>
    <row r="582" spans="1:14" x14ac:dyDescent="0.3">
      <c r="A582" t="s">
        <v>887</v>
      </c>
      <c r="B582" s="4">
        <v>46147</v>
      </c>
      <c r="C582" t="s">
        <v>77</v>
      </c>
      <c r="D582" t="s">
        <v>78</v>
      </c>
      <c r="E582" t="s">
        <v>6</v>
      </c>
      <c r="F582" t="s">
        <v>72</v>
      </c>
      <c r="G582" t="s">
        <v>56</v>
      </c>
      <c r="H582" t="s">
        <v>3</v>
      </c>
      <c r="I582" t="s">
        <v>57</v>
      </c>
      <c r="J582">
        <v>2</v>
      </c>
      <c r="K582">
        <v>8200</v>
      </c>
      <c r="L582" t="s">
        <v>9</v>
      </c>
      <c r="M582" t="s">
        <v>58</v>
      </c>
      <c r="N582">
        <f t="shared" si="9"/>
        <v>16400</v>
      </c>
    </row>
    <row r="583" spans="1:14" x14ac:dyDescent="0.3">
      <c r="A583" t="s">
        <v>888</v>
      </c>
      <c r="B583" s="4">
        <v>46153</v>
      </c>
      <c r="C583" t="s">
        <v>305</v>
      </c>
      <c r="D583" t="s">
        <v>306</v>
      </c>
      <c r="E583" t="s">
        <v>10</v>
      </c>
      <c r="F583" t="s">
        <v>90</v>
      </c>
      <c r="G583" t="s">
        <v>123</v>
      </c>
      <c r="H583" t="s">
        <v>124</v>
      </c>
      <c r="I583" t="s">
        <v>111</v>
      </c>
      <c r="J583">
        <v>5</v>
      </c>
      <c r="K583">
        <v>160</v>
      </c>
      <c r="L583" t="s">
        <v>9</v>
      </c>
      <c r="M583" t="s">
        <v>58</v>
      </c>
      <c r="N583">
        <f t="shared" si="9"/>
        <v>800</v>
      </c>
    </row>
    <row r="584" spans="1:14" x14ac:dyDescent="0.3">
      <c r="A584" t="s">
        <v>889</v>
      </c>
      <c r="B584" s="4">
        <v>46106</v>
      </c>
      <c r="C584" t="s">
        <v>143</v>
      </c>
      <c r="D584" t="s">
        <v>144</v>
      </c>
      <c r="E584" t="s">
        <v>15</v>
      </c>
      <c r="F584" t="s">
        <v>48</v>
      </c>
      <c r="G584" t="s">
        <v>205</v>
      </c>
      <c r="H584" t="s">
        <v>206</v>
      </c>
      <c r="I584" t="s">
        <v>51</v>
      </c>
      <c r="J584">
        <v>1</v>
      </c>
      <c r="K584">
        <v>590</v>
      </c>
      <c r="L584" t="s">
        <v>14</v>
      </c>
      <c r="M584" t="s">
        <v>52</v>
      </c>
      <c r="N584">
        <f t="shared" si="9"/>
        <v>590</v>
      </c>
    </row>
    <row r="585" spans="1:14" x14ac:dyDescent="0.3">
      <c r="A585" t="s">
        <v>890</v>
      </c>
      <c r="B585" s="4">
        <v>46127</v>
      </c>
      <c r="C585" t="s">
        <v>293</v>
      </c>
      <c r="D585" t="s">
        <v>254</v>
      </c>
      <c r="E585" t="s">
        <v>19</v>
      </c>
      <c r="F585" t="s">
        <v>90</v>
      </c>
      <c r="G585" t="s">
        <v>109</v>
      </c>
      <c r="H585" t="s">
        <v>110</v>
      </c>
      <c r="I585" t="s">
        <v>111</v>
      </c>
      <c r="J585">
        <v>4</v>
      </c>
      <c r="K585">
        <v>304</v>
      </c>
      <c r="L585" t="s">
        <v>4</v>
      </c>
      <c r="M585" t="s">
        <v>105</v>
      </c>
      <c r="N585">
        <f t="shared" si="9"/>
        <v>1216</v>
      </c>
    </row>
    <row r="586" spans="1:14" x14ac:dyDescent="0.3">
      <c r="A586" t="s">
        <v>891</v>
      </c>
      <c r="B586" s="4">
        <v>46046</v>
      </c>
      <c r="C586" t="s">
        <v>344</v>
      </c>
      <c r="D586" t="s">
        <v>345</v>
      </c>
      <c r="E586" t="s">
        <v>6</v>
      </c>
      <c r="F586" t="s">
        <v>90</v>
      </c>
      <c r="G586" t="s">
        <v>73</v>
      </c>
      <c r="H586" t="s">
        <v>74</v>
      </c>
      <c r="I586" t="s">
        <v>75</v>
      </c>
      <c r="J586">
        <v>5</v>
      </c>
      <c r="K586">
        <v>420</v>
      </c>
      <c r="L586" t="s">
        <v>7</v>
      </c>
      <c r="M586" t="s">
        <v>58</v>
      </c>
      <c r="N586">
        <f t="shared" si="9"/>
        <v>2100</v>
      </c>
    </row>
    <row r="587" spans="1:14" x14ac:dyDescent="0.3">
      <c r="A587" t="s">
        <v>892</v>
      </c>
      <c r="B587" s="4">
        <v>46050</v>
      </c>
      <c r="C587" t="s">
        <v>215</v>
      </c>
      <c r="D587" t="s">
        <v>12</v>
      </c>
      <c r="E587" t="s">
        <v>10</v>
      </c>
      <c r="F587" t="s">
        <v>72</v>
      </c>
      <c r="G587" t="s">
        <v>136</v>
      </c>
      <c r="H587" t="s">
        <v>137</v>
      </c>
      <c r="I587" t="s">
        <v>111</v>
      </c>
      <c r="J587">
        <v>2</v>
      </c>
      <c r="K587">
        <v>80.75</v>
      </c>
      <c r="L587" t="s">
        <v>17</v>
      </c>
      <c r="M587" t="s">
        <v>58</v>
      </c>
      <c r="N587">
        <f t="shared" si="9"/>
        <v>161.5</v>
      </c>
    </row>
    <row r="588" spans="1:14" x14ac:dyDescent="0.3">
      <c r="A588" t="s">
        <v>893</v>
      </c>
      <c r="B588" s="4">
        <v>46226</v>
      </c>
      <c r="C588" t="s">
        <v>204</v>
      </c>
      <c r="D588" t="s">
        <v>71</v>
      </c>
      <c r="E588" t="s">
        <v>15</v>
      </c>
      <c r="F588" t="s">
        <v>90</v>
      </c>
      <c r="G588" t="s">
        <v>183</v>
      </c>
      <c r="H588" t="s">
        <v>184</v>
      </c>
      <c r="I588" t="s">
        <v>111</v>
      </c>
      <c r="J588">
        <v>3</v>
      </c>
      <c r="K588">
        <v>189</v>
      </c>
      <c r="L588" t="s">
        <v>2</v>
      </c>
      <c r="M588" t="s">
        <v>80</v>
      </c>
      <c r="N588">
        <f t="shared" si="9"/>
        <v>567</v>
      </c>
    </row>
    <row r="589" spans="1:14" x14ac:dyDescent="0.3">
      <c r="A589" t="s">
        <v>894</v>
      </c>
      <c r="B589" s="4">
        <v>46167</v>
      </c>
      <c r="C589" t="s">
        <v>132</v>
      </c>
      <c r="D589" t="s">
        <v>20</v>
      </c>
      <c r="E589" t="s">
        <v>19</v>
      </c>
      <c r="F589" t="s">
        <v>90</v>
      </c>
      <c r="G589" t="s">
        <v>84</v>
      </c>
      <c r="H589" t="s">
        <v>85</v>
      </c>
      <c r="I589" t="s">
        <v>51</v>
      </c>
      <c r="J589">
        <v>1</v>
      </c>
      <c r="K589">
        <v>760</v>
      </c>
      <c r="L589" t="s">
        <v>7</v>
      </c>
      <c r="M589" t="s">
        <v>80</v>
      </c>
      <c r="N589">
        <f t="shared" si="9"/>
        <v>760</v>
      </c>
    </row>
    <row r="590" spans="1:14" x14ac:dyDescent="0.3">
      <c r="A590" t="s">
        <v>895</v>
      </c>
      <c r="B590" s="4">
        <v>46233</v>
      </c>
      <c r="C590" t="s">
        <v>204</v>
      </c>
      <c r="D590" t="s">
        <v>71</v>
      </c>
      <c r="E590" t="s">
        <v>15</v>
      </c>
      <c r="F590" t="s">
        <v>90</v>
      </c>
      <c r="G590" t="s">
        <v>163</v>
      </c>
      <c r="H590" t="s">
        <v>164</v>
      </c>
      <c r="I590" t="s">
        <v>111</v>
      </c>
      <c r="J590">
        <v>1</v>
      </c>
      <c r="K590">
        <v>240</v>
      </c>
      <c r="L590" t="s">
        <v>7</v>
      </c>
      <c r="M590" t="s">
        <v>105</v>
      </c>
      <c r="N590">
        <f t="shared" si="9"/>
        <v>240</v>
      </c>
    </row>
    <row r="591" spans="1:14" x14ac:dyDescent="0.3">
      <c r="A591" t="s">
        <v>896</v>
      </c>
      <c r="B591" s="4">
        <v>46207</v>
      </c>
      <c r="C591" t="s">
        <v>474</v>
      </c>
      <c r="D591" t="s">
        <v>417</v>
      </c>
      <c r="E591" t="s">
        <v>19</v>
      </c>
      <c r="F591" t="s">
        <v>90</v>
      </c>
      <c r="G591" t="s">
        <v>201</v>
      </c>
      <c r="H591" t="s">
        <v>202</v>
      </c>
      <c r="I591" t="s">
        <v>63</v>
      </c>
      <c r="J591">
        <v>2</v>
      </c>
      <c r="K591">
        <v>456</v>
      </c>
      <c r="L591" t="s">
        <v>2</v>
      </c>
      <c r="M591" t="s">
        <v>52</v>
      </c>
      <c r="N591">
        <f t="shared" si="9"/>
        <v>912</v>
      </c>
    </row>
    <row r="592" spans="1:14" x14ac:dyDescent="0.3">
      <c r="A592" t="s">
        <v>897</v>
      </c>
      <c r="B592" s="4">
        <v>46114</v>
      </c>
      <c r="C592" t="s">
        <v>253</v>
      </c>
      <c r="D592" t="s">
        <v>254</v>
      </c>
      <c r="E592" t="s">
        <v>6</v>
      </c>
      <c r="F592" t="s">
        <v>72</v>
      </c>
      <c r="G592" t="s">
        <v>61</v>
      </c>
      <c r="H592" t="s">
        <v>62</v>
      </c>
      <c r="I592" t="s">
        <v>63</v>
      </c>
      <c r="J592">
        <v>4</v>
      </c>
      <c r="K592">
        <v>110</v>
      </c>
      <c r="L592" t="s">
        <v>17</v>
      </c>
      <c r="M592" t="s">
        <v>80</v>
      </c>
      <c r="N592">
        <f t="shared" si="9"/>
        <v>440</v>
      </c>
    </row>
    <row r="593" spans="1:14" x14ac:dyDescent="0.3">
      <c r="A593" t="s">
        <v>898</v>
      </c>
      <c r="B593" s="4">
        <v>46035</v>
      </c>
      <c r="C593" t="s">
        <v>234</v>
      </c>
      <c r="D593" t="s">
        <v>235</v>
      </c>
      <c r="E593" t="s">
        <v>15</v>
      </c>
      <c r="F593" t="s">
        <v>90</v>
      </c>
      <c r="G593" t="s">
        <v>67</v>
      </c>
      <c r="H593" t="s">
        <v>8</v>
      </c>
      <c r="I593" t="s">
        <v>68</v>
      </c>
      <c r="J593">
        <v>5</v>
      </c>
      <c r="K593">
        <v>1450</v>
      </c>
      <c r="L593" t="s">
        <v>9</v>
      </c>
      <c r="M593" t="s">
        <v>105</v>
      </c>
      <c r="N593">
        <f t="shared" si="9"/>
        <v>7250</v>
      </c>
    </row>
    <row r="594" spans="1:14" x14ac:dyDescent="0.3">
      <c r="A594" t="s">
        <v>899</v>
      </c>
      <c r="B594" s="4">
        <v>46180</v>
      </c>
      <c r="C594" t="s">
        <v>667</v>
      </c>
      <c r="D594" t="s">
        <v>668</v>
      </c>
      <c r="E594" t="s">
        <v>15</v>
      </c>
      <c r="F594" t="s">
        <v>72</v>
      </c>
      <c r="G594" t="s">
        <v>91</v>
      </c>
      <c r="H594" t="s">
        <v>13</v>
      </c>
      <c r="I594" t="s">
        <v>57</v>
      </c>
      <c r="J594">
        <v>1</v>
      </c>
      <c r="K594">
        <v>2945</v>
      </c>
      <c r="L594" t="s">
        <v>4</v>
      </c>
      <c r="M594" t="s">
        <v>52</v>
      </c>
      <c r="N594">
        <f t="shared" si="9"/>
        <v>2945</v>
      </c>
    </row>
    <row r="595" spans="1:14" x14ac:dyDescent="0.3">
      <c r="A595" t="s">
        <v>900</v>
      </c>
      <c r="B595" s="4">
        <v>46207</v>
      </c>
      <c r="C595" t="s">
        <v>178</v>
      </c>
      <c r="D595" t="s">
        <v>179</v>
      </c>
      <c r="E595" t="s">
        <v>10</v>
      </c>
      <c r="F595" t="s">
        <v>48</v>
      </c>
      <c r="G595" t="s">
        <v>79</v>
      </c>
      <c r="H595" t="s">
        <v>11</v>
      </c>
      <c r="I595" t="s">
        <v>57</v>
      </c>
      <c r="J595">
        <v>1</v>
      </c>
      <c r="K595">
        <v>5200</v>
      </c>
      <c r="L595" t="s">
        <v>14</v>
      </c>
      <c r="M595" t="s">
        <v>58</v>
      </c>
      <c r="N595">
        <f t="shared" si="9"/>
        <v>5200</v>
      </c>
    </row>
    <row r="596" spans="1:14" x14ac:dyDescent="0.3">
      <c r="A596" t="s">
        <v>901</v>
      </c>
      <c r="B596" s="4">
        <v>46141</v>
      </c>
      <c r="C596" t="s">
        <v>510</v>
      </c>
      <c r="D596" t="s">
        <v>12</v>
      </c>
      <c r="E596" t="s">
        <v>10</v>
      </c>
      <c r="F596" t="s">
        <v>90</v>
      </c>
      <c r="G596" t="s">
        <v>73</v>
      </c>
      <c r="H596" t="s">
        <v>74</v>
      </c>
      <c r="I596" t="s">
        <v>75</v>
      </c>
      <c r="J596">
        <v>3</v>
      </c>
      <c r="K596">
        <v>441</v>
      </c>
      <c r="L596" t="s">
        <v>9</v>
      </c>
      <c r="M596" t="s">
        <v>105</v>
      </c>
      <c r="N596">
        <f t="shared" si="9"/>
        <v>1323</v>
      </c>
    </row>
    <row r="597" spans="1:14" x14ac:dyDescent="0.3">
      <c r="A597" t="s">
        <v>902</v>
      </c>
      <c r="B597" s="4">
        <v>46212</v>
      </c>
      <c r="C597" t="s">
        <v>253</v>
      </c>
      <c r="D597" t="s">
        <v>254</v>
      </c>
      <c r="E597" t="s">
        <v>6</v>
      </c>
      <c r="F597" t="s">
        <v>72</v>
      </c>
      <c r="G597" t="s">
        <v>84</v>
      </c>
      <c r="H597" t="s">
        <v>85</v>
      </c>
      <c r="I597" t="s">
        <v>51</v>
      </c>
      <c r="J597">
        <v>1</v>
      </c>
      <c r="K597">
        <v>760</v>
      </c>
      <c r="L597" t="s">
        <v>17</v>
      </c>
      <c r="M597" t="s">
        <v>105</v>
      </c>
      <c r="N597">
        <f t="shared" si="9"/>
        <v>760</v>
      </c>
    </row>
    <row r="598" spans="1:14" x14ac:dyDescent="0.3">
      <c r="A598" t="s">
        <v>903</v>
      </c>
      <c r="B598" s="4">
        <v>46223</v>
      </c>
      <c r="C598" t="s">
        <v>54</v>
      </c>
      <c r="D598" t="s">
        <v>55</v>
      </c>
      <c r="E598" t="s">
        <v>1</v>
      </c>
      <c r="F598" t="s">
        <v>48</v>
      </c>
      <c r="G598" t="s">
        <v>84</v>
      </c>
      <c r="H598" t="s">
        <v>85</v>
      </c>
      <c r="I598" t="s">
        <v>51</v>
      </c>
      <c r="J598">
        <v>6</v>
      </c>
      <c r="K598">
        <v>760</v>
      </c>
      <c r="L598" t="s">
        <v>2</v>
      </c>
      <c r="M598" t="s">
        <v>52</v>
      </c>
      <c r="N598">
        <f t="shared" si="9"/>
        <v>4560</v>
      </c>
    </row>
    <row r="599" spans="1:14" x14ac:dyDescent="0.3">
      <c r="A599" t="s">
        <v>904</v>
      </c>
      <c r="B599" s="4">
        <v>46050</v>
      </c>
      <c r="C599" t="s">
        <v>339</v>
      </c>
      <c r="D599" t="s">
        <v>340</v>
      </c>
      <c r="E599" t="s">
        <v>6</v>
      </c>
      <c r="F599" t="s">
        <v>90</v>
      </c>
      <c r="G599" t="s">
        <v>208</v>
      </c>
      <c r="H599" t="s">
        <v>22</v>
      </c>
      <c r="I599" t="s">
        <v>68</v>
      </c>
      <c r="J599">
        <v>2</v>
      </c>
      <c r="K599">
        <v>2310</v>
      </c>
      <c r="L599" t="s">
        <v>17</v>
      </c>
      <c r="M599" t="s">
        <v>80</v>
      </c>
      <c r="N599">
        <f t="shared" si="9"/>
        <v>4620</v>
      </c>
    </row>
    <row r="600" spans="1:14" x14ac:dyDescent="0.3">
      <c r="A600" t="s">
        <v>905</v>
      </c>
      <c r="B600" s="4">
        <v>46131</v>
      </c>
      <c r="C600" t="s">
        <v>541</v>
      </c>
      <c r="D600" t="s">
        <v>211</v>
      </c>
      <c r="E600" t="s">
        <v>18</v>
      </c>
      <c r="F600" t="s">
        <v>48</v>
      </c>
      <c r="G600" t="s">
        <v>109</v>
      </c>
      <c r="H600" t="s">
        <v>110</v>
      </c>
      <c r="I600" t="s">
        <v>111</v>
      </c>
      <c r="J600">
        <v>8</v>
      </c>
      <c r="K600">
        <v>320</v>
      </c>
      <c r="L600" t="s">
        <v>7</v>
      </c>
      <c r="M600" t="s">
        <v>105</v>
      </c>
      <c r="N600">
        <f t="shared" si="9"/>
        <v>2560</v>
      </c>
    </row>
    <row r="601" spans="1:14" x14ac:dyDescent="0.3">
      <c r="A601" t="s">
        <v>906</v>
      </c>
      <c r="B601" s="4">
        <v>46139</v>
      </c>
      <c r="C601" t="s">
        <v>524</v>
      </c>
      <c r="D601" t="s">
        <v>525</v>
      </c>
      <c r="E601" t="s">
        <v>10</v>
      </c>
      <c r="F601" t="s">
        <v>90</v>
      </c>
      <c r="G601" t="s">
        <v>239</v>
      </c>
      <c r="H601" t="s">
        <v>240</v>
      </c>
      <c r="I601" t="s">
        <v>63</v>
      </c>
      <c r="J601">
        <v>4</v>
      </c>
      <c r="K601">
        <v>720</v>
      </c>
      <c r="L601" t="s">
        <v>4</v>
      </c>
      <c r="M601" t="s">
        <v>80</v>
      </c>
      <c r="N601">
        <f t="shared" si="9"/>
        <v>2880</v>
      </c>
    </row>
    <row r="602" spans="1:14" x14ac:dyDescent="0.3">
      <c r="A602" t="s">
        <v>907</v>
      </c>
      <c r="B602" s="4">
        <v>46244</v>
      </c>
      <c r="C602" t="s">
        <v>149</v>
      </c>
      <c r="D602" t="s">
        <v>150</v>
      </c>
      <c r="E602" t="s">
        <v>6</v>
      </c>
      <c r="F602" t="s">
        <v>72</v>
      </c>
      <c r="G602" t="s">
        <v>49</v>
      </c>
      <c r="H602" t="s">
        <v>50</v>
      </c>
      <c r="I602" t="s">
        <v>51</v>
      </c>
      <c r="J602">
        <v>1</v>
      </c>
      <c r="K602">
        <v>99.75</v>
      </c>
      <c r="L602" t="s">
        <v>2</v>
      </c>
      <c r="M602" t="s">
        <v>52</v>
      </c>
      <c r="N602">
        <f t="shared" si="9"/>
        <v>99.75</v>
      </c>
    </row>
    <row r="603" spans="1:14" x14ac:dyDescent="0.3">
      <c r="A603" t="s">
        <v>908</v>
      </c>
      <c r="B603" s="4">
        <v>46183</v>
      </c>
      <c r="C603" t="s">
        <v>189</v>
      </c>
      <c r="D603" t="s">
        <v>190</v>
      </c>
      <c r="E603" t="s">
        <v>6</v>
      </c>
      <c r="F603" t="s">
        <v>72</v>
      </c>
      <c r="G603" t="s">
        <v>79</v>
      </c>
      <c r="H603" t="s">
        <v>11</v>
      </c>
      <c r="I603" t="s">
        <v>57</v>
      </c>
      <c r="J603">
        <v>3</v>
      </c>
      <c r="K603">
        <v>5200</v>
      </c>
      <c r="L603" t="s">
        <v>2</v>
      </c>
      <c r="M603" t="s">
        <v>52</v>
      </c>
      <c r="N603">
        <f t="shared" si="9"/>
        <v>15600</v>
      </c>
    </row>
    <row r="604" spans="1:14" x14ac:dyDescent="0.3">
      <c r="A604" t="s">
        <v>909</v>
      </c>
      <c r="B604" s="4">
        <v>46152</v>
      </c>
      <c r="C604" t="s">
        <v>158</v>
      </c>
      <c r="D604" t="s">
        <v>159</v>
      </c>
      <c r="E604" t="s">
        <v>18</v>
      </c>
      <c r="F604" t="s">
        <v>48</v>
      </c>
      <c r="G604" t="s">
        <v>123</v>
      </c>
      <c r="H604" t="s">
        <v>124</v>
      </c>
      <c r="I604" t="s">
        <v>111</v>
      </c>
      <c r="J604">
        <v>2</v>
      </c>
      <c r="K604">
        <v>160</v>
      </c>
      <c r="L604" t="s">
        <v>2</v>
      </c>
      <c r="M604" t="s">
        <v>58</v>
      </c>
      <c r="N604">
        <f t="shared" si="9"/>
        <v>320</v>
      </c>
    </row>
    <row r="605" spans="1:14" x14ac:dyDescent="0.3">
      <c r="A605" t="s">
        <v>910</v>
      </c>
      <c r="B605" s="4">
        <v>46167</v>
      </c>
      <c r="C605" t="s">
        <v>270</v>
      </c>
      <c r="D605" t="s">
        <v>271</v>
      </c>
      <c r="E605" t="s">
        <v>18</v>
      </c>
      <c r="F605" t="s">
        <v>48</v>
      </c>
      <c r="G605" t="s">
        <v>201</v>
      </c>
      <c r="H605" t="s">
        <v>202</v>
      </c>
      <c r="I605" t="s">
        <v>63</v>
      </c>
      <c r="J605">
        <v>2</v>
      </c>
      <c r="K605">
        <v>504</v>
      </c>
      <c r="L605" t="s">
        <v>2</v>
      </c>
      <c r="M605" t="s">
        <v>105</v>
      </c>
      <c r="N605">
        <f t="shared" si="9"/>
        <v>1008</v>
      </c>
    </row>
    <row r="606" spans="1:14" x14ac:dyDescent="0.3">
      <c r="A606" t="s">
        <v>911</v>
      </c>
      <c r="B606" s="4">
        <v>46097</v>
      </c>
      <c r="C606" t="s">
        <v>589</v>
      </c>
      <c r="D606" t="s">
        <v>358</v>
      </c>
      <c r="E606" t="s">
        <v>18</v>
      </c>
      <c r="F606" t="s">
        <v>48</v>
      </c>
      <c r="G606" t="s">
        <v>49</v>
      </c>
      <c r="H606" t="s">
        <v>50</v>
      </c>
      <c r="I606" t="s">
        <v>51</v>
      </c>
      <c r="J606">
        <v>5</v>
      </c>
      <c r="K606">
        <v>95</v>
      </c>
      <c r="L606" t="s">
        <v>14</v>
      </c>
      <c r="M606" t="s">
        <v>58</v>
      </c>
      <c r="N606">
        <f t="shared" si="9"/>
        <v>475</v>
      </c>
    </row>
    <row r="607" spans="1:14" x14ac:dyDescent="0.3">
      <c r="A607" t="s">
        <v>912</v>
      </c>
      <c r="B607" s="4">
        <v>46061</v>
      </c>
      <c r="C607" t="s">
        <v>496</v>
      </c>
      <c r="D607" t="s">
        <v>5</v>
      </c>
      <c r="E607" t="s">
        <v>19</v>
      </c>
      <c r="F607" t="s">
        <v>48</v>
      </c>
      <c r="G607" t="s">
        <v>109</v>
      </c>
      <c r="H607" t="s">
        <v>110</v>
      </c>
      <c r="I607" t="s">
        <v>111</v>
      </c>
      <c r="J607">
        <v>1</v>
      </c>
      <c r="K607">
        <v>304</v>
      </c>
      <c r="L607" t="s">
        <v>9</v>
      </c>
      <c r="M607" t="s">
        <v>80</v>
      </c>
      <c r="N607">
        <f t="shared" si="9"/>
        <v>304</v>
      </c>
    </row>
    <row r="608" spans="1:14" x14ac:dyDescent="0.3">
      <c r="A608" t="s">
        <v>913</v>
      </c>
      <c r="B608" s="4">
        <v>46097</v>
      </c>
      <c r="C608" t="s">
        <v>143</v>
      </c>
      <c r="D608" t="s">
        <v>144</v>
      </c>
      <c r="E608" t="s">
        <v>15</v>
      </c>
      <c r="F608" t="s">
        <v>48</v>
      </c>
      <c r="G608" t="s">
        <v>123</v>
      </c>
      <c r="H608" t="s">
        <v>124</v>
      </c>
      <c r="I608" t="s">
        <v>111</v>
      </c>
      <c r="J608">
        <v>3</v>
      </c>
      <c r="K608">
        <v>160</v>
      </c>
      <c r="L608" t="s">
        <v>14</v>
      </c>
      <c r="M608" t="s">
        <v>80</v>
      </c>
      <c r="N608">
        <f t="shared" si="9"/>
        <v>480</v>
      </c>
    </row>
    <row r="609" spans="1:14" x14ac:dyDescent="0.3">
      <c r="A609" t="s">
        <v>914</v>
      </c>
      <c r="B609" s="4">
        <v>46032</v>
      </c>
      <c r="C609" t="s">
        <v>639</v>
      </c>
      <c r="D609" t="s">
        <v>21</v>
      </c>
      <c r="E609" t="s">
        <v>15</v>
      </c>
      <c r="F609" t="s">
        <v>72</v>
      </c>
      <c r="G609" t="s">
        <v>49</v>
      </c>
      <c r="H609" t="s">
        <v>50</v>
      </c>
      <c r="I609" t="s">
        <v>51</v>
      </c>
      <c r="J609">
        <v>2</v>
      </c>
      <c r="K609">
        <v>95</v>
      </c>
      <c r="L609" t="s">
        <v>14</v>
      </c>
      <c r="M609" t="s">
        <v>52</v>
      </c>
      <c r="N609">
        <f t="shared" si="9"/>
        <v>190</v>
      </c>
    </row>
    <row r="610" spans="1:14" x14ac:dyDescent="0.3">
      <c r="A610" t="s">
        <v>915</v>
      </c>
      <c r="B610" s="4">
        <v>46123</v>
      </c>
      <c r="C610" t="s">
        <v>377</v>
      </c>
      <c r="D610" t="s">
        <v>378</v>
      </c>
      <c r="E610" t="s">
        <v>6</v>
      </c>
      <c r="F610" t="s">
        <v>72</v>
      </c>
      <c r="G610" t="s">
        <v>49</v>
      </c>
      <c r="H610" t="s">
        <v>50</v>
      </c>
      <c r="I610" t="s">
        <v>51</v>
      </c>
      <c r="J610">
        <v>1</v>
      </c>
      <c r="K610">
        <v>95</v>
      </c>
      <c r="L610" t="s">
        <v>2</v>
      </c>
      <c r="M610" t="s">
        <v>58</v>
      </c>
      <c r="N610">
        <f t="shared" si="9"/>
        <v>95</v>
      </c>
    </row>
    <row r="611" spans="1:14" x14ac:dyDescent="0.3">
      <c r="A611" t="s">
        <v>916</v>
      </c>
      <c r="B611" s="4">
        <v>46123</v>
      </c>
      <c r="C611" t="s">
        <v>54</v>
      </c>
      <c r="D611" t="s">
        <v>55</v>
      </c>
      <c r="E611" t="s">
        <v>1</v>
      </c>
      <c r="F611" t="s">
        <v>48</v>
      </c>
      <c r="G611" t="s">
        <v>109</v>
      </c>
      <c r="H611" t="s">
        <v>110</v>
      </c>
      <c r="I611" t="s">
        <v>111</v>
      </c>
      <c r="J611">
        <v>2</v>
      </c>
      <c r="K611">
        <v>320</v>
      </c>
      <c r="L611" t="s">
        <v>17</v>
      </c>
      <c r="M611" t="s">
        <v>58</v>
      </c>
      <c r="N611">
        <f t="shared" si="9"/>
        <v>640</v>
      </c>
    </row>
    <row r="612" spans="1:14" x14ac:dyDescent="0.3">
      <c r="A612" t="s">
        <v>917</v>
      </c>
      <c r="B612" s="4">
        <v>46075</v>
      </c>
      <c r="C612" t="s">
        <v>305</v>
      </c>
      <c r="D612" t="s">
        <v>306</v>
      </c>
      <c r="E612" t="s">
        <v>10</v>
      </c>
      <c r="F612" t="s">
        <v>90</v>
      </c>
      <c r="G612" t="s">
        <v>91</v>
      </c>
      <c r="H612" t="s">
        <v>13</v>
      </c>
      <c r="I612" t="s">
        <v>57</v>
      </c>
      <c r="J612">
        <v>3</v>
      </c>
      <c r="K612">
        <v>3100</v>
      </c>
      <c r="L612" t="s">
        <v>9</v>
      </c>
      <c r="M612" t="s">
        <v>80</v>
      </c>
      <c r="N612">
        <f t="shared" si="9"/>
        <v>9300</v>
      </c>
    </row>
    <row r="613" spans="1:14" x14ac:dyDescent="0.3">
      <c r="A613" t="s">
        <v>918</v>
      </c>
      <c r="B613" s="4">
        <v>46213</v>
      </c>
      <c r="C613" t="s">
        <v>143</v>
      </c>
      <c r="D613" t="s">
        <v>144</v>
      </c>
      <c r="E613" t="s">
        <v>15</v>
      </c>
      <c r="F613" t="s">
        <v>48</v>
      </c>
      <c r="G613" t="s">
        <v>49</v>
      </c>
      <c r="H613" t="s">
        <v>50</v>
      </c>
      <c r="I613" t="s">
        <v>51</v>
      </c>
      <c r="J613">
        <v>3</v>
      </c>
      <c r="K613">
        <v>95</v>
      </c>
      <c r="L613" t="s">
        <v>7</v>
      </c>
      <c r="M613" t="s">
        <v>105</v>
      </c>
      <c r="N613">
        <f t="shared" si="9"/>
        <v>285</v>
      </c>
    </row>
    <row r="614" spans="1:14" x14ac:dyDescent="0.3">
      <c r="A614" t="s">
        <v>919</v>
      </c>
      <c r="B614" s="4">
        <v>46071</v>
      </c>
      <c r="C614" t="s">
        <v>60</v>
      </c>
      <c r="D614" t="s">
        <v>5</v>
      </c>
      <c r="E614" t="s">
        <v>6</v>
      </c>
      <c r="F614" t="s">
        <v>48</v>
      </c>
      <c r="G614" t="s">
        <v>183</v>
      </c>
      <c r="H614" t="s">
        <v>184</v>
      </c>
      <c r="I614" t="s">
        <v>111</v>
      </c>
      <c r="J614">
        <v>8</v>
      </c>
      <c r="K614">
        <v>189</v>
      </c>
      <c r="L614" t="s">
        <v>14</v>
      </c>
      <c r="M614" t="s">
        <v>105</v>
      </c>
      <c r="N614">
        <f t="shared" si="9"/>
        <v>1512</v>
      </c>
    </row>
    <row r="615" spans="1:14" x14ac:dyDescent="0.3">
      <c r="A615" t="s">
        <v>920</v>
      </c>
      <c r="B615" s="4">
        <v>46095</v>
      </c>
      <c r="C615" t="s">
        <v>129</v>
      </c>
      <c r="D615" t="s">
        <v>130</v>
      </c>
      <c r="E615" t="s">
        <v>15</v>
      </c>
      <c r="F615" t="s">
        <v>90</v>
      </c>
      <c r="G615" t="s">
        <v>95</v>
      </c>
      <c r="H615" t="s">
        <v>96</v>
      </c>
      <c r="I615" t="s">
        <v>75</v>
      </c>
      <c r="J615">
        <v>2</v>
      </c>
      <c r="K615">
        <v>650</v>
      </c>
      <c r="L615" t="s">
        <v>9</v>
      </c>
      <c r="M615" t="s">
        <v>80</v>
      </c>
      <c r="N615">
        <f t="shared" si="9"/>
        <v>1300</v>
      </c>
    </row>
    <row r="616" spans="1:14" x14ac:dyDescent="0.3">
      <c r="A616" t="s">
        <v>921</v>
      </c>
      <c r="B616" s="4">
        <v>46143</v>
      </c>
      <c r="C616" t="s">
        <v>253</v>
      </c>
      <c r="D616" t="s">
        <v>254</v>
      </c>
      <c r="E616" t="s">
        <v>6</v>
      </c>
      <c r="F616" t="s">
        <v>72</v>
      </c>
      <c r="G616" t="s">
        <v>61</v>
      </c>
      <c r="H616" t="s">
        <v>62</v>
      </c>
      <c r="I616" t="s">
        <v>63</v>
      </c>
      <c r="J616">
        <v>3</v>
      </c>
      <c r="K616">
        <v>110</v>
      </c>
      <c r="L616" t="s">
        <v>14</v>
      </c>
      <c r="M616" t="s">
        <v>52</v>
      </c>
      <c r="N616">
        <f t="shared" si="9"/>
        <v>330</v>
      </c>
    </row>
    <row r="617" spans="1:14" x14ac:dyDescent="0.3">
      <c r="A617" t="s">
        <v>922</v>
      </c>
      <c r="B617" s="4">
        <v>46176</v>
      </c>
      <c r="C617" t="s">
        <v>54</v>
      </c>
      <c r="D617" t="s">
        <v>55</v>
      </c>
      <c r="E617" t="s">
        <v>1</v>
      </c>
      <c r="F617" t="s">
        <v>48</v>
      </c>
      <c r="G617" t="s">
        <v>61</v>
      </c>
      <c r="H617" t="s">
        <v>62</v>
      </c>
      <c r="I617" t="s">
        <v>63</v>
      </c>
      <c r="J617">
        <v>1</v>
      </c>
      <c r="K617">
        <v>115.5</v>
      </c>
      <c r="L617" t="s">
        <v>2</v>
      </c>
      <c r="M617" t="s">
        <v>80</v>
      </c>
      <c r="N617">
        <f t="shared" si="9"/>
        <v>115.5</v>
      </c>
    </row>
    <row r="618" spans="1:14" x14ac:dyDescent="0.3">
      <c r="A618" t="s">
        <v>923</v>
      </c>
      <c r="B618" s="4">
        <v>46115</v>
      </c>
      <c r="C618" t="s">
        <v>170</v>
      </c>
      <c r="D618" t="s">
        <v>171</v>
      </c>
      <c r="E618" t="s">
        <v>15</v>
      </c>
      <c r="F618" t="s">
        <v>72</v>
      </c>
      <c r="G618" t="s">
        <v>49</v>
      </c>
      <c r="H618" t="s">
        <v>50</v>
      </c>
      <c r="I618" t="s">
        <v>51</v>
      </c>
      <c r="J618">
        <v>1</v>
      </c>
      <c r="K618">
        <v>95</v>
      </c>
      <c r="L618" t="s">
        <v>17</v>
      </c>
      <c r="M618" t="s">
        <v>52</v>
      </c>
      <c r="N618">
        <f t="shared" si="9"/>
        <v>95</v>
      </c>
    </row>
    <row r="619" spans="1:14" x14ac:dyDescent="0.3">
      <c r="A619" t="s">
        <v>924</v>
      </c>
      <c r="B619" s="4">
        <v>46041</v>
      </c>
      <c r="C619" t="s">
        <v>573</v>
      </c>
      <c r="D619" t="s">
        <v>20</v>
      </c>
      <c r="E619" t="s">
        <v>10</v>
      </c>
      <c r="F619" t="s">
        <v>48</v>
      </c>
      <c r="G619" t="s">
        <v>84</v>
      </c>
      <c r="H619" t="s">
        <v>85</v>
      </c>
      <c r="I619" t="s">
        <v>51</v>
      </c>
      <c r="J619">
        <v>4</v>
      </c>
      <c r="K619">
        <v>760</v>
      </c>
      <c r="L619" t="s">
        <v>4</v>
      </c>
      <c r="M619" t="s">
        <v>105</v>
      </c>
      <c r="N619">
        <f t="shared" si="9"/>
        <v>3040</v>
      </c>
    </row>
    <row r="620" spans="1:14" x14ac:dyDescent="0.3">
      <c r="A620" t="s">
        <v>925</v>
      </c>
      <c r="B620" s="4">
        <v>46080</v>
      </c>
      <c r="C620" t="s">
        <v>126</v>
      </c>
      <c r="D620" t="s">
        <v>127</v>
      </c>
      <c r="E620" t="s">
        <v>15</v>
      </c>
      <c r="F620" t="s">
        <v>72</v>
      </c>
      <c r="G620" t="s">
        <v>201</v>
      </c>
      <c r="H620" t="s">
        <v>202</v>
      </c>
      <c r="I620" t="s">
        <v>63</v>
      </c>
      <c r="J620">
        <v>5</v>
      </c>
      <c r="K620">
        <v>480</v>
      </c>
      <c r="L620" t="s">
        <v>7</v>
      </c>
      <c r="M620" t="s">
        <v>80</v>
      </c>
      <c r="N620">
        <f t="shared" si="9"/>
        <v>2400</v>
      </c>
    </row>
    <row r="621" spans="1:14" x14ac:dyDescent="0.3">
      <c r="A621" t="s">
        <v>926</v>
      </c>
      <c r="B621" s="4">
        <v>46216</v>
      </c>
      <c r="C621" t="s">
        <v>416</v>
      </c>
      <c r="D621" t="s">
        <v>417</v>
      </c>
      <c r="E621" t="s">
        <v>19</v>
      </c>
      <c r="F621" t="s">
        <v>72</v>
      </c>
      <c r="G621" t="s">
        <v>79</v>
      </c>
      <c r="H621" t="s">
        <v>11</v>
      </c>
      <c r="I621" t="s">
        <v>57</v>
      </c>
      <c r="J621">
        <v>3</v>
      </c>
      <c r="K621">
        <v>5200</v>
      </c>
      <c r="L621" t="s">
        <v>17</v>
      </c>
      <c r="M621" t="s">
        <v>58</v>
      </c>
      <c r="N621">
        <f t="shared" si="9"/>
        <v>15600</v>
      </c>
    </row>
    <row r="622" spans="1:14" x14ac:dyDescent="0.3">
      <c r="A622" t="s">
        <v>927</v>
      </c>
      <c r="B622" s="4">
        <v>46138</v>
      </c>
      <c r="C622" t="s">
        <v>89</v>
      </c>
      <c r="D622" t="s">
        <v>12</v>
      </c>
      <c r="E622" t="s">
        <v>1</v>
      </c>
      <c r="F622" t="s">
        <v>90</v>
      </c>
      <c r="G622" t="s">
        <v>201</v>
      </c>
      <c r="H622" t="s">
        <v>202</v>
      </c>
      <c r="I622" t="s">
        <v>63</v>
      </c>
      <c r="J622">
        <v>1</v>
      </c>
      <c r="K622">
        <v>504</v>
      </c>
      <c r="L622" t="s">
        <v>17</v>
      </c>
      <c r="M622" t="s">
        <v>52</v>
      </c>
      <c r="N622">
        <f t="shared" si="9"/>
        <v>504</v>
      </c>
    </row>
    <row r="623" spans="1:14" x14ac:dyDescent="0.3">
      <c r="A623" t="s">
        <v>928</v>
      </c>
      <c r="B623" s="4">
        <v>46121</v>
      </c>
      <c r="C623" t="s">
        <v>129</v>
      </c>
      <c r="D623" t="s">
        <v>130</v>
      </c>
      <c r="E623" t="s">
        <v>15</v>
      </c>
      <c r="F623" t="s">
        <v>90</v>
      </c>
      <c r="G623" t="s">
        <v>61</v>
      </c>
      <c r="H623" t="s">
        <v>62</v>
      </c>
      <c r="I623" t="s">
        <v>63</v>
      </c>
      <c r="J623">
        <v>6</v>
      </c>
      <c r="K623">
        <v>104.5</v>
      </c>
      <c r="L623" t="s">
        <v>4</v>
      </c>
      <c r="M623" t="s">
        <v>80</v>
      </c>
      <c r="N623">
        <f t="shared" si="9"/>
        <v>627</v>
      </c>
    </row>
    <row r="624" spans="1:14" x14ac:dyDescent="0.3">
      <c r="A624" t="s">
        <v>929</v>
      </c>
      <c r="B624" s="4">
        <v>46030</v>
      </c>
      <c r="C624" t="s">
        <v>364</v>
      </c>
      <c r="D624" t="s">
        <v>365</v>
      </c>
      <c r="E624" t="s">
        <v>6</v>
      </c>
      <c r="F624" t="s">
        <v>90</v>
      </c>
      <c r="G624" t="s">
        <v>239</v>
      </c>
      <c r="H624" t="s">
        <v>240</v>
      </c>
      <c r="I624" t="s">
        <v>63</v>
      </c>
      <c r="J624">
        <v>6</v>
      </c>
      <c r="K624">
        <v>720</v>
      </c>
      <c r="L624" t="s">
        <v>17</v>
      </c>
      <c r="M624" t="s">
        <v>105</v>
      </c>
      <c r="N624">
        <f t="shared" si="9"/>
        <v>4320</v>
      </c>
    </row>
    <row r="625" spans="1:14" x14ac:dyDescent="0.3">
      <c r="A625" t="s">
        <v>930</v>
      </c>
      <c r="B625" s="4">
        <v>46099</v>
      </c>
      <c r="C625" t="s">
        <v>170</v>
      </c>
      <c r="D625" t="s">
        <v>171</v>
      </c>
      <c r="E625" t="s">
        <v>15</v>
      </c>
      <c r="F625" t="s">
        <v>72</v>
      </c>
      <c r="G625" t="s">
        <v>163</v>
      </c>
      <c r="H625" t="s">
        <v>164</v>
      </c>
      <c r="I625" t="s">
        <v>111</v>
      </c>
      <c r="J625">
        <v>5</v>
      </c>
      <c r="K625">
        <v>240</v>
      </c>
      <c r="L625" t="s">
        <v>7</v>
      </c>
      <c r="M625" t="s">
        <v>58</v>
      </c>
      <c r="N625">
        <f t="shared" si="9"/>
        <v>1200</v>
      </c>
    </row>
    <row r="626" spans="1:14" x14ac:dyDescent="0.3">
      <c r="A626" t="s">
        <v>931</v>
      </c>
      <c r="B626" s="4">
        <v>46221</v>
      </c>
      <c r="C626" t="s">
        <v>230</v>
      </c>
      <c r="D626" t="s">
        <v>231</v>
      </c>
      <c r="E626" t="s">
        <v>1</v>
      </c>
      <c r="F626" t="s">
        <v>48</v>
      </c>
      <c r="G626" t="s">
        <v>123</v>
      </c>
      <c r="H626" t="s">
        <v>124</v>
      </c>
      <c r="I626" t="s">
        <v>111</v>
      </c>
      <c r="J626">
        <v>2</v>
      </c>
      <c r="K626">
        <v>152</v>
      </c>
      <c r="L626" t="s">
        <v>2</v>
      </c>
      <c r="M626" t="s">
        <v>58</v>
      </c>
      <c r="N626">
        <f t="shared" si="9"/>
        <v>304</v>
      </c>
    </row>
    <row r="627" spans="1:14" x14ac:dyDescent="0.3">
      <c r="A627" t="s">
        <v>932</v>
      </c>
      <c r="B627" s="4">
        <v>46245</v>
      </c>
      <c r="C627" t="s">
        <v>639</v>
      </c>
      <c r="D627" t="s">
        <v>21</v>
      </c>
      <c r="E627" t="s">
        <v>15</v>
      </c>
      <c r="F627" t="s">
        <v>72</v>
      </c>
      <c r="G627" t="s">
        <v>79</v>
      </c>
      <c r="H627" t="s">
        <v>11</v>
      </c>
      <c r="I627" t="s">
        <v>57</v>
      </c>
      <c r="J627">
        <v>3</v>
      </c>
      <c r="K627">
        <v>4940</v>
      </c>
      <c r="L627" t="s">
        <v>9</v>
      </c>
      <c r="M627" t="s">
        <v>105</v>
      </c>
      <c r="N627">
        <f t="shared" si="9"/>
        <v>14820</v>
      </c>
    </row>
    <row r="628" spans="1:14" x14ac:dyDescent="0.3">
      <c r="A628" t="s">
        <v>933</v>
      </c>
      <c r="B628" s="4">
        <v>46215</v>
      </c>
      <c r="C628" t="s">
        <v>82</v>
      </c>
      <c r="D628" t="s">
        <v>83</v>
      </c>
      <c r="E628" t="s">
        <v>10</v>
      </c>
      <c r="F628" t="s">
        <v>72</v>
      </c>
      <c r="G628" t="s">
        <v>183</v>
      </c>
      <c r="H628" t="s">
        <v>184</v>
      </c>
      <c r="I628" t="s">
        <v>111</v>
      </c>
      <c r="J628">
        <v>3</v>
      </c>
      <c r="K628">
        <v>171</v>
      </c>
      <c r="L628" t="s">
        <v>4</v>
      </c>
      <c r="M628" t="s">
        <v>80</v>
      </c>
      <c r="N628">
        <f t="shared" si="9"/>
        <v>513</v>
      </c>
    </row>
    <row r="629" spans="1:14" x14ac:dyDescent="0.3">
      <c r="A629" t="s">
        <v>934</v>
      </c>
      <c r="B629" s="4">
        <v>46042</v>
      </c>
      <c r="C629" t="s">
        <v>466</v>
      </c>
      <c r="D629" t="s">
        <v>147</v>
      </c>
      <c r="E629" t="s">
        <v>10</v>
      </c>
      <c r="F629" t="s">
        <v>48</v>
      </c>
      <c r="G629" t="s">
        <v>183</v>
      </c>
      <c r="H629" t="s">
        <v>184</v>
      </c>
      <c r="I629" t="s">
        <v>111</v>
      </c>
      <c r="J629">
        <v>1</v>
      </c>
      <c r="K629">
        <v>180</v>
      </c>
      <c r="L629" t="s">
        <v>17</v>
      </c>
      <c r="M629" t="s">
        <v>58</v>
      </c>
      <c r="N629">
        <f t="shared" si="9"/>
        <v>180</v>
      </c>
    </row>
    <row r="630" spans="1:14" x14ac:dyDescent="0.3">
      <c r="A630" t="s">
        <v>935</v>
      </c>
      <c r="B630" s="4">
        <v>46257</v>
      </c>
      <c r="C630" t="s">
        <v>237</v>
      </c>
      <c r="D630" t="s">
        <v>238</v>
      </c>
      <c r="E630" t="s">
        <v>10</v>
      </c>
      <c r="F630" t="s">
        <v>72</v>
      </c>
      <c r="G630" t="s">
        <v>56</v>
      </c>
      <c r="H630" t="s">
        <v>3</v>
      </c>
      <c r="I630" t="s">
        <v>57</v>
      </c>
      <c r="J630">
        <v>1</v>
      </c>
      <c r="K630">
        <v>8200</v>
      </c>
      <c r="L630" t="s">
        <v>4</v>
      </c>
      <c r="M630" t="s">
        <v>105</v>
      </c>
      <c r="N630">
        <f t="shared" si="9"/>
        <v>8200</v>
      </c>
    </row>
    <row r="631" spans="1:14" x14ac:dyDescent="0.3">
      <c r="A631" t="s">
        <v>936</v>
      </c>
      <c r="B631" s="4">
        <v>46028</v>
      </c>
      <c r="C631" t="s">
        <v>390</v>
      </c>
      <c r="D631" t="s">
        <v>391</v>
      </c>
      <c r="E631" t="s">
        <v>18</v>
      </c>
      <c r="F631" t="s">
        <v>90</v>
      </c>
      <c r="G631" t="s">
        <v>61</v>
      </c>
      <c r="H631" t="s">
        <v>62</v>
      </c>
      <c r="I631" t="s">
        <v>63</v>
      </c>
      <c r="J631">
        <v>2</v>
      </c>
      <c r="K631">
        <v>104.5</v>
      </c>
      <c r="L631" t="s">
        <v>17</v>
      </c>
      <c r="M631" t="s">
        <v>58</v>
      </c>
      <c r="N631">
        <f t="shared" si="9"/>
        <v>209</v>
      </c>
    </row>
    <row r="632" spans="1:14" x14ac:dyDescent="0.3">
      <c r="A632" t="s">
        <v>937</v>
      </c>
      <c r="B632" s="4">
        <v>46217</v>
      </c>
      <c r="C632" t="s">
        <v>82</v>
      </c>
      <c r="D632" t="s">
        <v>83</v>
      </c>
      <c r="E632" t="s">
        <v>10</v>
      </c>
      <c r="F632" t="s">
        <v>72</v>
      </c>
      <c r="G632" t="s">
        <v>183</v>
      </c>
      <c r="H632" t="s">
        <v>184</v>
      </c>
      <c r="I632" t="s">
        <v>111</v>
      </c>
      <c r="J632">
        <v>3</v>
      </c>
      <c r="K632">
        <v>171</v>
      </c>
      <c r="L632" t="s">
        <v>2</v>
      </c>
      <c r="M632" t="s">
        <v>58</v>
      </c>
      <c r="N632">
        <f t="shared" si="9"/>
        <v>513</v>
      </c>
    </row>
    <row r="633" spans="1:14" x14ac:dyDescent="0.3">
      <c r="A633" t="s">
        <v>938</v>
      </c>
      <c r="B633" s="4">
        <v>46051</v>
      </c>
      <c r="C633" t="s">
        <v>433</v>
      </c>
      <c r="D633" t="s">
        <v>130</v>
      </c>
      <c r="E633" t="s">
        <v>10</v>
      </c>
      <c r="F633" t="s">
        <v>48</v>
      </c>
      <c r="G633" t="s">
        <v>84</v>
      </c>
      <c r="H633" t="s">
        <v>85</v>
      </c>
      <c r="I633" t="s">
        <v>51</v>
      </c>
      <c r="J633">
        <v>1</v>
      </c>
      <c r="K633">
        <v>760</v>
      </c>
      <c r="L633" t="s">
        <v>17</v>
      </c>
      <c r="M633" t="s">
        <v>58</v>
      </c>
      <c r="N633">
        <f t="shared" si="9"/>
        <v>760</v>
      </c>
    </row>
    <row r="634" spans="1:14" x14ac:dyDescent="0.3">
      <c r="A634" t="s">
        <v>939</v>
      </c>
      <c r="B634" s="4">
        <v>46121</v>
      </c>
      <c r="C634" t="s">
        <v>399</v>
      </c>
      <c r="D634" t="s">
        <v>400</v>
      </c>
      <c r="E634" t="s">
        <v>6</v>
      </c>
      <c r="F634" t="s">
        <v>72</v>
      </c>
      <c r="G634" t="s">
        <v>73</v>
      </c>
      <c r="H634" t="s">
        <v>74</v>
      </c>
      <c r="I634" t="s">
        <v>75</v>
      </c>
      <c r="J634">
        <v>2</v>
      </c>
      <c r="K634">
        <v>399</v>
      </c>
      <c r="L634" t="s">
        <v>4</v>
      </c>
      <c r="M634" t="s">
        <v>52</v>
      </c>
      <c r="N634">
        <f t="shared" si="9"/>
        <v>798</v>
      </c>
    </row>
    <row r="635" spans="1:14" x14ac:dyDescent="0.3">
      <c r="A635" t="s">
        <v>940</v>
      </c>
      <c r="B635" s="4">
        <v>46058</v>
      </c>
      <c r="C635" t="s">
        <v>348</v>
      </c>
      <c r="D635" t="s">
        <v>349</v>
      </c>
      <c r="E635" t="s">
        <v>19</v>
      </c>
      <c r="F635" t="s">
        <v>72</v>
      </c>
      <c r="G635" t="s">
        <v>56</v>
      </c>
      <c r="H635" t="s">
        <v>3</v>
      </c>
      <c r="I635" t="s">
        <v>57</v>
      </c>
      <c r="J635">
        <v>3</v>
      </c>
      <c r="K635">
        <v>8610</v>
      </c>
      <c r="L635" t="s">
        <v>7</v>
      </c>
      <c r="M635" t="s">
        <v>52</v>
      </c>
      <c r="N635">
        <f t="shared" si="9"/>
        <v>25830</v>
      </c>
    </row>
    <row r="636" spans="1:14" x14ac:dyDescent="0.3">
      <c r="A636" t="s">
        <v>941</v>
      </c>
      <c r="B636" s="4">
        <v>46026</v>
      </c>
      <c r="C636" t="s">
        <v>514</v>
      </c>
      <c r="D636" t="s">
        <v>515</v>
      </c>
      <c r="E636" t="s">
        <v>18</v>
      </c>
      <c r="F636" t="s">
        <v>72</v>
      </c>
      <c r="G636" t="s">
        <v>201</v>
      </c>
      <c r="H636" t="s">
        <v>202</v>
      </c>
      <c r="I636" t="s">
        <v>63</v>
      </c>
      <c r="J636">
        <v>2</v>
      </c>
      <c r="K636">
        <v>504</v>
      </c>
      <c r="L636" t="s">
        <v>9</v>
      </c>
      <c r="M636" t="s">
        <v>58</v>
      </c>
      <c r="N636">
        <f t="shared" si="9"/>
        <v>1008</v>
      </c>
    </row>
    <row r="637" spans="1:14" x14ac:dyDescent="0.3">
      <c r="A637" t="s">
        <v>942</v>
      </c>
      <c r="B637" s="4">
        <v>46170</v>
      </c>
      <c r="C637" t="s">
        <v>129</v>
      </c>
      <c r="D637" t="s">
        <v>943</v>
      </c>
      <c r="E637" t="s">
        <v>15</v>
      </c>
      <c r="F637" t="s">
        <v>90</v>
      </c>
      <c r="G637" t="s">
        <v>136</v>
      </c>
      <c r="H637" t="s">
        <v>137</v>
      </c>
      <c r="I637" t="s">
        <v>111</v>
      </c>
      <c r="J637">
        <v>3</v>
      </c>
      <c r="K637">
        <v>89.25</v>
      </c>
      <c r="L637" t="s">
        <v>17</v>
      </c>
      <c r="M637" t="s">
        <v>58</v>
      </c>
      <c r="N637">
        <f t="shared" si="9"/>
        <v>267.75</v>
      </c>
    </row>
    <row r="638" spans="1:14" x14ac:dyDescent="0.3">
      <c r="A638" t="s">
        <v>944</v>
      </c>
      <c r="B638" s="4">
        <v>46215</v>
      </c>
      <c r="C638" t="s">
        <v>248</v>
      </c>
      <c r="D638" t="s">
        <v>94</v>
      </c>
      <c r="E638" t="s">
        <v>15</v>
      </c>
      <c r="F638" t="s">
        <v>90</v>
      </c>
      <c r="G638" t="s">
        <v>79</v>
      </c>
      <c r="H638" t="s">
        <v>11</v>
      </c>
      <c r="I638" t="s">
        <v>57</v>
      </c>
      <c r="J638">
        <v>3</v>
      </c>
      <c r="K638">
        <v>5200</v>
      </c>
      <c r="L638" t="s">
        <v>9</v>
      </c>
      <c r="M638" t="s">
        <v>105</v>
      </c>
      <c r="N638">
        <f t="shared" si="9"/>
        <v>15600</v>
      </c>
    </row>
    <row r="639" spans="1:14" x14ac:dyDescent="0.3">
      <c r="A639" t="s">
        <v>945</v>
      </c>
      <c r="B639" s="4">
        <v>46060</v>
      </c>
      <c r="C639" t="s">
        <v>323</v>
      </c>
      <c r="D639" t="s">
        <v>324</v>
      </c>
      <c r="E639" t="s">
        <v>15</v>
      </c>
      <c r="F639" t="s">
        <v>72</v>
      </c>
      <c r="G639" t="s">
        <v>84</v>
      </c>
      <c r="H639" t="s">
        <v>85</v>
      </c>
      <c r="I639" t="s">
        <v>51</v>
      </c>
      <c r="J639">
        <v>1</v>
      </c>
      <c r="K639">
        <v>760</v>
      </c>
      <c r="L639" t="s">
        <v>17</v>
      </c>
      <c r="M639" t="s">
        <v>80</v>
      </c>
      <c r="N639">
        <f t="shared" si="9"/>
        <v>760</v>
      </c>
    </row>
    <row r="640" spans="1:14" x14ac:dyDescent="0.3">
      <c r="A640" t="s">
        <v>946</v>
      </c>
      <c r="B640" s="4">
        <v>46070</v>
      </c>
      <c r="C640" t="s">
        <v>227</v>
      </c>
      <c r="D640" t="s">
        <v>228</v>
      </c>
      <c r="E640" t="s">
        <v>1</v>
      </c>
      <c r="F640" t="s">
        <v>90</v>
      </c>
      <c r="G640" t="s">
        <v>67</v>
      </c>
      <c r="H640" t="s">
        <v>8</v>
      </c>
      <c r="I640" t="s">
        <v>68</v>
      </c>
      <c r="J640">
        <v>3</v>
      </c>
      <c r="K640">
        <v>1522.5</v>
      </c>
      <c r="L640" t="s">
        <v>14</v>
      </c>
      <c r="M640" t="s">
        <v>105</v>
      </c>
      <c r="N640">
        <f t="shared" si="9"/>
        <v>4567.5</v>
      </c>
    </row>
    <row r="641" spans="1:14" x14ac:dyDescent="0.3">
      <c r="A641" t="s">
        <v>947</v>
      </c>
      <c r="B641" s="4">
        <v>46042</v>
      </c>
      <c r="C641" t="s">
        <v>82</v>
      </c>
      <c r="D641" t="s">
        <v>83</v>
      </c>
      <c r="E641" t="s">
        <v>10</v>
      </c>
      <c r="F641" t="s">
        <v>72</v>
      </c>
      <c r="G641" t="s">
        <v>49</v>
      </c>
      <c r="H641" t="s">
        <v>50</v>
      </c>
      <c r="I641" t="s">
        <v>51</v>
      </c>
      <c r="J641">
        <v>1</v>
      </c>
      <c r="K641">
        <v>90.25</v>
      </c>
      <c r="L641" t="s">
        <v>7</v>
      </c>
      <c r="M641" t="s">
        <v>58</v>
      </c>
      <c r="N641">
        <f t="shared" si="9"/>
        <v>90.25</v>
      </c>
    </row>
    <row r="642" spans="1:14" x14ac:dyDescent="0.3">
      <c r="A642" t="s">
        <v>948</v>
      </c>
      <c r="B642" s="4">
        <v>46108</v>
      </c>
      <c r="C642" t="s">
        <v>189</v>
      </c>
      <c r="D642" t="s">
        <v>190</v>
      </c>
      <c r="E642" t="s">
        <v>6</v>
      </c>
      <c r="F642" t="s">
        <v>72</v>
      </c>
      <c r="G642" t="s">
        <v>205</v>
      </c>
      <c r="H642" t="s">
        <v>206</v>
      </c>
      <c r="I642" t="s">
        <v>51</v>
      </c>
      <c r="J642">
        <v>2</v>
      </c>
      <c r="K642">
        <v>590</v>
      </c>
      <c r="L642" t="s">
        <v>14</v>
      </c>
      <c r="M642" t="s">
        <v>80</v>
      </c>
      <c r="N642">
        <f t="shared" si="9"/>
        <v>1180</v>
      </c>
    </row>
    <row r="643" spans="1:14" x14ac:dyDescent="0.3">
      <c r="A643" t="s">
        <v>949</v>
      </c>
      <c r="B643" s="4">
        <v>46254</v>
      </c>
      <c r="C643" t="s">
        <v>950</v>
      </c>
      <c r="D643" t="s">
        <v>951</v>
      </c>
      <c r="E643" t="s">
        <v>15</v>
      </c>
      <c r="F643" t="s">
        <v>72</v>
      </c>
      <c r="G643" t="s">
        <v>183</v>
      </c>
      <c r="H643" t="s">
        <v>184</v>
      </c>
      <c r="I643" t="s">
        <v>111</v>
      </c>
      <c r="J643">
        <v>1</v>
      </c>
      <c r="K643">
        <v>180</v>
      </c>
      <c r="L643" t="s">
        <v>4</v>
      </c>
      <c r="M643" t="s">
        <v>80</v>
      </c>
      <c r="N643">
        <f t="shared" ref="N643:N706" si="10">J643*K643</f>
        <v>180</v>
      </c>
    </row>
    <row r="644" spans="1:14" x14ac:dyDescent="0.3">
      <c r="A644" t="s">
        <v>952</v>
      </c>
      <c r="B644" s="4">
        <v>46201</v>
      </c>
      <c r="C644" t="s">
        <v>210</v>
      </c>
      <c r="D644" t="s">
        <v>211</v>
      </c>
      <c r="E644" t="s">
        <v>19</v>
      </c>
      <c r="F644" t="s">
        <v>48</v>
      </c>
      <c r="G644" t="s">
        <v>239</v>
      </c>
      <c r="H644" t="s">
        <v>240</v>
      </c>
      <c r="I644" t="s">
        <v>63</v>
      </c>
      <c r="J644">
        <v>2</v>
      </c>
      <c r="K644">
        <v>756</v>
      </c>
      <c r="L644" t="s">
        <v>17</v>
      </c>
      <c r="M644" t="s">
        <v>80</v>
      </c>
      <c r="N644">
        <f t="shared" si="10"/>
        <v>1512</v>
      </c>
    </row>
    <row r="645" spans="1:14" x14ac:dyDescent="0.3">
      <c r="A645" t="s">
        <v>953</v>
      </c>
      <c r="B645" s="4">
        <v>46133</v>
      </c>
      <c r="C645" t="s">
        <v>438</v>
      </c>
      <c r="D645" t="s">
        <v>439</v>
      </c>
      <c r="E645" t="s">
        <v>18</v>
      </c>
      <c r="F645" t="s">
        <v>72</v>
      </c>
      <c r="G645" t="s">
        <v>61</v>
      </c>
      <c r="H645" t="s">
        <v>62</v>
      </c>
      <c r="I645" t="s">
        <v>63</v>
      </c>
      <c r="J645">
        <v>1</v>
      </c>
      <c r="K645">
        <v>110</v>
      </c>
      <c r="L645" t="s">
        <v>9</v>
      </c>
      <c r="M645" t="s">
        <v>52</v>
      </c>
      <c r="N645">
        <f t="shared" si="10"/>
        <v>110</v>
      </c>
    </row>
    <row r="646" spans="1:14" x14ac:dyDescent="0.3">
      <c r="A646" t="s">
        <v>954</v>
      </c>
      <c r="B646" s="4">
        <v>46094</v>
      </c>
      <c r="C646" t="s">
        <v>474</v>
      </c>
      <c r="D646" t="s">
        <v>417</v>
      </c>
      <c r="E646" t="s">
        <v>19</v>
      </c>
      <c r="F646" t="s">
        <v>90</v>
      </c>
      <c r="G646" t="s">
        <v>95</v>
      </c>
      <c r="H646" t="s">
        <v>96</v>
      </c>
      <c r="I646" t="s">
        <v>75</v>
      </c>
      <c r="J646">
        <v>5</v>
      </c>
      <c r="K646">
        <v>650</v>
      </c>
      <c r="L646" t="s">
        <v>2</v>
      </c>
      <c r="M646" t="s">
        <v>80</v>
      </c>
      <c r="N646">
        <f t="shared" si="10"/>
        <v>3250</v>
      </c>
    </row>
    <row r="647" spans="1:14" x14ac:dyDescent="0.3">
      <c r="A647" t="s">
        <v>955</v>
      </c>
      <c r="B647" s="4">
        <v>46142</v>
      </c>
      <c r="C647" t="s">
        <v>285</v>
      </c>
      <c r="D647" t="s">
        <v>47</v>
      </c>
      <c r="E647" t="s">
        <v>6</v>
      </c>
      <c r="F647" t="s">
        <v>72</v>
      </c>
      <c r="G647" t="s">
        <v>205</v>
      </c>
      <c r="H647" t="s">
        <v>206</v>
      </c>
      <c r="I647" t="s">
        <v>51</v>
      </c>
      <c r="J647">
        <v>2</v>
      </c>
      <c r="K647">
        <v>590</v>
      </c>
      <c r="L647" t="s">
        <v>4</v>
      </c>
      <c r="M647" t="s">
        <v>58</v>
      </c>
      <c r="N647">
        <f t="shared" si="10"/>
        <v>1180</v>
      </c>
    </row>
    <row r="648" spans="1:14" x14ac:dyDescent="0.3">
      <c r="A648" t="s">
        <v>956</v>
      </c>
      <c r="B648" s="4">
        <v>46239</v>
      </c>
      <c r="C648" t="s">
        <v>60</v>
      </c>
      <c r="D648" t="s">
        <v>5</v>
      </c>
      <c r="E648" t="s">
        <v>6</v>
      </c>
      <c r="F648" t="s">
        <v>48</v>
      </c>
      <c r="G648" t="s">
        <v>183</v>
      </c>
      <c r="H648" t="s">
        <v>184</v>
      </c>
      <c r="I648" t="s">
        <v>111</v>
      </c>
      <c r="J648">
        <v>1</v>
      </c>
      <c r="K648">
        <v>180</v>
      </c>
      <c r="L648" t="s">
        <v>17</v>
      </c>
      <c r="M648" t="s">
        <v>52</v>
      </c>
      <c r="N648">
        <f t="shared" si="10"/>
        <v>180</v>
      </c>
    </row>
    <row r="649" spans="1:14" x14ac:dyDescent="0.3">
      <c r="A649" t="s">
        <v>957</v>
      </c>
      <c r="B649" s="4">
        <v>46210</v>
      </c>
      <c r="C649" t="s">
        <v>250</v>
      </c>
      <c r="D649" t="s">
        <v>251</v>
      </c>
      <c r="E649" t="s">
        <v>1</v>
      </c>
      <c r="F649" t="s">
        <v>48</v>
      </c>
      <c r="G649" t="s">
        <v>183</v>
      </c>
      <c r="H649" t="s">
        <v>184</v>
      </c>
      <c r="I649" t="s">
        <v>111</v>
      </c>
      <c r="J649">
        <v>1</v>
      </c>
      <c r="K649">
        <v>171</v>
      </c>
      <c r="L649" t="s">
        <v>17</v>
      </c>
      <c r="M649" t="s">
        <v>58</v>
      </c>
      <c r="N649">
        <f t="shared" si="10"/>
        <v>171</v>
      </c>
    </row>
    <row r="650" spans="1:14" x14ac:dyDescent="0.3">
      <c r="A650" t="s">
        <v>958</v>
      </c>
      <c r="B650" s="4">
        <v>46220</v>
      </c>
      <c r="C650" t="s">
        <v>70</v>
      </c>
      <c r="D650" t="s">
        <v>71</v>
      </c>
      <c r="E650" t="s">
        <v>10</v>
      </c>
      <c r="F650" t="s">
        <v>72</v>
      </c>
      <c r="G650" t="s">
        <v>109</v>
      </c>
      <c r="H650" t="s">
        <v>110</v>
      </c>
      <c r="I650" t="s">
        <v>111</v>
      </c>
      <c r="J650">
        <v>3</v>
      </c>
      <c r="K650">
        <v>304</v>
      </c>
      <c r="L650" t="s">
        <v>17</v>
      </c>
      <c r="M650" t="s">
        <v>80</v>
      </c>
      <c r="N650">
        <f t="shared" si="10"/>
        <v>912</v>
      </c>
    </row>
    <row r="651" spans="1:14" x14ac:dyDescent="0.3">
      <c r="A651" t="s">
        <v>959</v>
      </c>
      <c r="B651" s="4">
        <v>46144</v>
      </c>
      <c r="C651" t="s">
        <v>364</v>
      </c>
      <c r="D651" t="s">
        <v>365</v>
      </c>
      <c r="E651" t="s">
        <v>6</v>
      </c>
      <c r="F651" t="s">
        <v>90</v>
      </c>
      <c r="G651" t="s">
        <v>49</v>
      </c>
      <c r="H651" t="s">
        <v>50</v>
      </c>
      <c r="I651" t="s">
        <v>51</v>
      </c>
      <c r="J651">
        <v>3</v>
      </c>
      <c r="K651">
        <v>95</v>
      </c>
      <c r="L651" t="s">
        <v>7</v>
      </c>
      <c r="M651" t="s">
        <v>105</v>
      </c>
      <c r="N651">
        <f t="shared" si="10"/>
        <v>285</v>
      </c>
    </row>
    <row r="652" spans="1:14" x14ac:dyDescent="0.3">
      <c r="A652" t="s">
        <v>960</v>
      </c>
      <c r="B652" s="4">
        <v>46058</v>
      </c>
      <c r="C652" t="s">
        <v>186</v>
      </c>
      <c r="D652" t="s">
        <v>187</v>
      </c>
      <c r="E652" t="s">
        <v>6</v>
      </c>
      <c r="F652" t="s">
        <v>72</v>
      </c>
      <c r="G652" t="s">
        <v>239</v>
      </c>
      <c r="H652" t="s">
        <v>240</v>
      </c>
      <c r="I652" t="s">
        <v>63</v>
      </c>
      <c r="J652">
        <v>2</v>
      </c>
      <c r="K652">
        <v>756</v>
      </c>
      <c r="L652" t="s">
        <v>14</v>
      </c>
      <c r="M652" t="s">
        <v>105</v>
      </c>
      <c r="N652">
        <f t="shared" si="10"/>
        <v>1512</v>
      </c>
    </row>
    <row r="653" spans="1:14" x14ac:dyDescent="0.3">
      <c r="A653" t="s">
        <v>961</v>
      </c>
      <c r="B653" s="4">
        <v>46026</v>
      </c>
      <c r="C653" t="s">
        <v>102</v>
      </c>
      <c r="D653" t="s">
        <v>103</v>
      </c>
      <c r="E653" t="s">
        <v>10</v>
      </c>
      <c r="F653" t="s">
        <v>90</v>
      </c>
      <c r="G653" t="s">
        <v>84</v>
      </c>
      <c r="H653" t="s">
        <v>85</v>
      </c>
      <c r="I653" t="s">
        <v>51</v>
      </c>
      <c r="J653">
        <v>3</v>
      </c>
      <c r="K653">
        <v>798</v>
      </c>
      <c r="L653" t="s">
        <v>2</v>
      </c>
      <c r="M653" t="s">
        <v>52</v>
      </c>
      <c r="N653">
        <f t="shared" si="10"/>
        <v>2394</v>
      </c>
    </row>
    <row r="654" spans="1:14" x14ac:dyDescent="0.3">
      <c r="A654" t="s">
        <v>962</v>
      </c>
      <c r="B654" s="4">
        <v>46059</v>
      </c>
      <c r="C654" t="s">
        <v>143</v>
      </c>
      <c r="D654" t="s">
        <v>144</v>
      </c>
      <c r="E654" t="s">
        <v>15</v>
      </c>
      <c r="F654" t="s">
        <v>48</v>
      </c>
      <c r="G654" t="s">
        <v>84</v>
      </c>
      <c r="H654" t="s">
        <v>85</v>
      </c>
      <c r="I654" t="s">
        <v>51</v>
      </c>
      <c r="J654">
        <v>2</v>
      </c>
      <c r="K654">
        <v>760</v>
      </c>
      <c r="L654" t="s">
        <v>17</v>
      </c>
      <c r="M654" t="s">
        <v>52</v>
      </c>
      <c r="N654">
        <f t="shared" si="10"/>
        <v>1520</v>
      </c>
    </row>
    <row r="655" spans="1:14" x14ac:dyDescent="0.3">
      <c r="A655" t="s">
        <v>963</v>
      </c>
      <c r="B655" s="4">
        <v>46115</v>
      </c>
      <c r="C655" t="s">
        <v>406</v>
      </c>
      <c r="D655" t="s">
        <v>407</v>
      </c>
      <c r="E655" t="s">
        <v>1</v>
      </c>
      <c r="F655" t="s">
        <v>72</v>
      </c>
      <c r="G655" t="s">
        <v>205</v>
      </c>
      <c r="H655" t="s">
        <v>206</v>
      </c>
      <c r="I655" t="s">
        <v>51</v>
      </c>
      <c r="J655">
        <v>1</v>
      </c>
      <c r="K655">
        <v>590</v>
      </c>
      <c r="L655" t="s">
        <v>9</v>
      </c>
      <c r="M655" t="s">
        <v>58</v>
      </c>
      <c r="N655">
        <f t="shared" si="10"/>
        <v>590</v>
      </c>
    </row>
    <row r="656" spans="1:14" x14ac:dyDescent="0.3">
      <c r="A656" t="s">
        <v>964</v>
      </c>
      <c r="B656" s="4">
        <v>46083</v>
      </c>
      <c r="C656" t="s">
        <v>250</v>
      </c>
      <c r="D656" t="s">
        <v>251</v>
      </c>
      <c r="E656" t="s">
        <v>1</v>
      </c>
      <c r="F656" t="s">
        <v>48</v>
      </c>
      <c r="G656" t="s">
        <v>201</v>
      </c>
      <c r="H656" t="s">
        <v>202</v>
      </c>
      <c r="I656" t="s">
        <v>63</v>
      </c>
      <c r="J656">
        <v>1</v>
      </c>
      <c r="K656">
        <v>480</v>
      </c>
      <c r="L656" t="s">
        <v>17</v>
      </c>
      <c r="M656" t="s">
        <v>80</v>
      </c>
      <c r="N656">
        <f t="shared" si="10"/>
        <v>480</v>
      </c>
    </row>
    <row r="657" spans="1:14" x14ac:dyDescent="0.3">
      <c r="A657" t="s">
        <v>965</v>
      </c>
      <c r="B657" s="4">
        <v>46258</v>
      </c>
      <c r="C657" t="s">
        <v>98</v>
      </c>
      <c r="D657" t="s">
        <v>16</v>
      </c>
      <c r="E657" t="s">
        <v>1</v>
      </c>
      <c r="F657" t="s">
        <v>48</v>
      </c>
      <c r="G657" t="s">
        <v>205</v>
      </c>
      <c r="H657" t="s">
        <v>206</v>
      </c>
      <c r="I657" t="s">
        <v>51</v>
      </c>
      <c r="J657">
        <v>2</v>
      </c>
      <c r="K657">
        <v>560.5</v>
      </c>
      <c r="L657" t="s">
        <v>14</v>
      </c>
      <c r="M657" t="s">
        <v>80</v>
      </c>
      <c r="N657">
        <f t="shared" si="10"/>
        <v>1121</v>
      </c>
    </row>
    <row r="658" spans="1:14" x14ac:dyDescent="0.3">
      <c r="A658" t="s">
        <v>966</v>
      </c>
      <c r="B658" s="4">
        <v>46186</v>
      </c>
      <c r="C658" t="s">
        <v>667</v>
      </c>
      <c r="D658" t="s">
        <v>668</v>
      </c>
      <c r="E658" t="s">
        <v>15</v>
      </c>
      <c r="F658" t="s">
        <v>72</v>
      </c>
      <c r="G658" t="s">
        <v>84</v>
      </c>
      <c r="H658" t="s">
        <v>85</v>
      </c>
      <c r="I658" t="s">
        <v>51</v>
      </c>
      <c r="J658">
        <v>4</v>
      </c>
      <c r="K658">
        <v>760</v>
      </c>
      <c r="L658" t="s">
        <v>17</v>
      </c>
      <c r="M658" t="s">
        <v>52</v>
      </c>
      <c r="N658">
        <f t="shared" si="10"/>
        <v>3040</v>
      </c>
    </row>
    <row r="659" spans="1:14" x14ac:dyDescent="0.3">
      <c r="A659" t="s">
        <v>967</v>
      </c>
      <c r="B659" s="4">
        <v>46117</v>
      </c>
      <c r="C659" t="s">
        <v>328</v>
      </c>
      <c r="D659" t="s">
        <v>329</v>
      </c>
      <c r="E659" t="s">
        <v>15</v>
      </c>
      <c r="F659" t="s">
        <v>48</v>
      </c>
      <c r="G659" t="s">
        <v>109</v>
      </c>
      <c r="H659" t="s">
        <v>110</v>
      </c>
      <c r="I659" t="s">
        <v>111</v>
      </c>
      <c r="J659">
        <v>2</v>
      </c>
      <c r="K659">
        <v>304</v>
      </c>
      <c r="L659" t="s">
        <v>17</v>
      </c>
      <c r="M659" t="s">
        <v>80</v>
      </c>
      <c r="N659">
        <f t="shared" si="10"/>
        <v>608</v>
      </c>
    </row>
    <row r="660" spans="1:14" x14ac:dyDescent="0.3">
      <c r="A660" t="s">
        <v>968</v>
      </c>
      <c r="B660" s="4">
        <v>46156</v>
      </c>
      <c r="C660" t="s">
        <v>328</v>
      </c>
      <c r="D660" t="s">
        <v>329</v>
      </c>
      <c r="E660" t="s">
        <v>15</v>
      </c>
      <c r="F660" t="s">
        <v>48</v>
      </c>
      <c r="G660" t="s">
        <v>56</v>
      </c>
      <c r="H660" t="s">
        <v>3</v>
      </c>
      <c r="I660" t="s">
        <v>57</v>
      </c>
      <c r="J660">
        <v>2</v>
      </c>
      <c r="K660">
        <v>8200</v>
      </c>
      <c r="L660" t="s">
        <v>4</v>
      </c>
      <c r="M660" t="s">
        <v>105</v>
      </c>
      <c r="N660">
        <f t="shared" si="10"/>
        <v>16400</v>
      </c>
    </row>
    <row r="661" spans="1:14" x14ac:dyDescent="0.3">
      <c r="A661" t="s">
        <v>969</v>
      </c>
      <c r="B661" s="4">
        <v>46152</v>
      </c>
      <c r="C661" t="s">
        <v>132</v>
      </c>
      <c r="D661" t="s">
        <v>20</v>
      </c>
      <c r="E661" t="s">
        <v>19</v>
      </c>
      <c r="F661" t="s">
        <v>90</v>
      </c>
      <c r="G661" t="s">
        <v>136</v>
      </c>
      <c r="H661" t="s">
        <v>137</v>
      </c>
      <c r="I661" t="s">
        <v>111</v>
      </c>
      <c r="J661">
        <v>5</v>
      </c>
      <c r="K661">
        <v>85</v>
      </c>
      <c r="L661" t="s">
        <v>9</v>
      </c>
      <c r="M661" t="s">
        <v>52</v>
      </c>
      <c r="N661">
        <f t="shared" si="10"/>
        <v>425</v>
      </c>
    </row>
    <row r="662" spans="1:14" x14ac:dyDescent="0.3">
      <c r="A662" t="s">
        <v>970</v>
      </c>
      <c r="B662" s="4">
        <v>46188</v>
      </c>
      <c r="C662" t="s">
        <v>260</v>
      </c>
      <c r="D662" t="s">
        <v>261</v>
      </c>
      <c r="E662" t="s">
        <v>1</v>
      </c>
      <c r="F662" t="s">
        <v>48</v>
      </c>
      <c r="G662" t="s">
        <v>84</v>
      </c>
      <c r="H662" t="s">
        <v>85</v>
      </c>
      <c r="I662" t="s">
        <v>51</v>
      </c>
      <c r="J662">
        <v>1</v>
      </c>
      <c r="K662">
        <v>760</v>
      </c>
      <c r="L662" t="s">
        <v>9</v>
      </c>
      <c r="M662" t="s">
        <v>52</v>
      </c>
      <c r="N662">
        <f t="shared" si="10"/>
        <v>760</v>
      </c>
    </row>
    <row r="663" spans="1:14" x14ac:dyDescent="0.3">
      <c r="A663" t="s">
        <v>971</v>
      </c>
      <c r="B663" s="4">
        <v>46193</v>
      </c>
      <c r="C663" t="s">
        <v>102</v>
      </c>
      <c r="D663" t="s">
        <v>103</v>
      </c>
      <c r="E663" t="s">
        <v>10</v>
      </c>
      <c r="F663" t="s">
        <v>90</v>
      </c>
      <c r="G663" t="s">
        <v>67</v>
      </c>
      <c r="H663" t="s">
        <v>8</v>
      </c>
      <c r="I663" t="s">
        <v>68</v>
      </c>
      <c r="J663">
        <v>1</v>
      </c>
      <c r="K663">
        <v>1450</v>
      </c>
      <c r="L663" t="s">
        <v>2</v>
      </c>
      <c r="M663" t="s">
        <v>58</v>
      </c>
      <c r="N663">
        <f t="shared" si="10"/>
        <v>1450</v>
      </c>
    </row>
    <row r="664" spans="1:14" x14ac:dyDescent="0.3">
      <c r="A664" t="s">
        <v>972</v>
      </c>
      <c r="B664" s="4">
        <v>46146</v>
      </c>
      <c r="C664" t="s">
        <v>615</v>
      </c>
      <c r="D664" t="s">
        <v>118</v>
      </c>
      <c r="E664" t="s">
        <v>6</v>
      </c>
      <c r="F664" t="s">
        <v>48</v>
      </c>
      <c r="G664" t="s">
        <v>205</v>
      </c>
      <c r="H664" t="s">
        <v>206</v>
      </c>
      <c r="I664" t="s">
        <v>51</v>
      </c>
      <c r="J664">
        <v>1</v>
      </c>
      <c r="K664">
        <v>590</v>
      </c>
      <c r="L664" t="s">
        <v>2</v>
      </c>
      <c r="M664" t="s">
        <v>105</v>
      </c>
      <c r="N664">
        <f t="shared" si="10"/>
        <v>590</v>
      </c>
    </row>
    <row r="665" spans="1:14" x14ac:dyDescent="0.3">
      <c r="A665" t="s">
        <v>973</v>
      </c>
      <c r="B665" s="4">
        <v>46035</v>
      </c>
      <c r="C665" t="s">
        <v>375</v>
      </c>
      <c r="D665" t="s">
        <v>156</v>
      </c>
      <c r="E665" t="s">
        <v>6</v>
      </c>
      <c r="F665" t="s">
        <v>90</v>
      </c>
      <c r="G665" t="s">
        <v>56</v>
      </c>
      <c r="H665" t="s">
        <v>3</v>
      </c>
      <c r="I665" t="s">
        <v>57</v>
      </c>
      <c r="J665">
        <v>1</v>
      </c>
      <c r="K665">
        <v>8610</v>
      </c>
      <c r="L665" t="s">
        <v>9</v>
      </c>
      <c r="M665" t="s">
        <v>52</v>
      </c>
      <c r="N665">
        <f t="shared" si="10"/>
        <v>8610</v>
      </c>
    </row>
    <row r="666" spans="1:14" x14ac:dyDescent="0.3">
      <c r="A666" t="s">
        <v>974</v>
      </c>
      <c r="B666" s="4">
        <v>46034</v>
      </c>
      <c r="C666" t="s">
        <v>310</v>
      </c>
      <c r="D666" t="s">
        <v>311</v>
      </c>
      <c r="E666" t="s">
        <v>19</v>
      </c>
      <c r="F666" t="s">
        <v>72</v>
      </c>
      <c r="G666" t="s">
        <v>84</v>
      </c>
      <c r="H666" t="s">
        <v>85</v>
      </c>
      <c r="I666" t="s">
        <v>51</v>
      </c>
      <c r="J666">
        <v>5</v>
      </c>
      <c r="K666">
        <v>760</v>
      </c>
      <c r="L666" t="s">
        <v>14</v>
      </c>
      <c r="M666" t="s">
        <v>52</v>
      </c>
      <c r="N666">
        <f t="shared" si="10"/>
        <v>3800</v>
      </c>
    </row>
    <row r="667" spans="1:14" x14ac:dyDescent="0.3">
      <c r="A667" t="s">
        <v>975</v>
      </c>
      <c r="B667" s="4">
        <v>46156</v>
      </c>
      <c r="C667" t="s">
        <v>250</v>
      </c>
      <c r="D667" t="s">
        <v>251</v>
      </c>
      <c r="E667" t="s">
        <v>1</v>
      </c>
      <c r="F667" t="s">
        <v>48</v>
      </c>
      <c r="G667" t="s">
        <v>123</v>
      </c>
      <c r="H667" t="s">
        <v>124</v>
      </c>
      <c r="I667" t="s">
        <v>111</v>
      </c>
      <c r="J667">
        <v>8</v>
      </c>
      <c r="K667">
        <v>168</v>
      </c>
      <c r="L667" t="s">
        <v>17</v>
      </c>
      <c r="M667" t="s">
        <v>58</v>
      </c>
      <c r="N667">
        <f t="shared" si="10"/>
        <v>1344</v>
      </c>
    </row>
    <row r="668" spans="1:14" x14ac:dyDescent="0.3">
      <c r="A668" t="s">
        <v>976</v>
      </c>
      <c r="B668" s="4">
        <v>46045</v>
      </c>
      <c r="C668" t="s">
        <v>285</v>
      </c>
      <c r="D668" t="s">
        <v>47</v>
      </c>
      <c r="E668" t="s">
        <v>6</v>
      </c>
      <c r="F668" t="s">
        <v>72</v>
      </c>
      <c r="G668" t="s">
        <v>239</v>
      </c>
      <c r="H668" t="s">
        <v>240</v>
      </c>
      <c r="I668" t="s">
        <v>63</v>
      </c>
      <c r="J668">
        <v>1</v>
      </c>
      <c r="K668">
        <v>756</v>
      </c>
      <c r="L668" t="s">
        <v>4</v>
      </c>
      <c r="M668" t="s">
        <v>105</v>
      </c>
      <c r="N668">
        <f t="shared" si="10"/>
        <v>756</v>
      </c>
    </row>
    <row r="669" spans="1:14" x14ac:dyDescent="0.3">
      <c r="A669" t="s">
        <v>977</v>
      </c>
      <c r="B669" s="4">
        <v>46236</v>
      </c>
      <c r="C669" t="s">
        <v>585</v>
      </c>
      <c r="D669" t="s">
        <v>182</v>
      </c>
      <c r="E669" t="s">
        <v>6</v>
      </c>
      <c r="F669" t="s">
        <v>90</v>
      </c>
      <c r="G669" t="s">
        <v>56</v>
      </c>
      <c r="H669" t="s">
        <v>3</v>
      </c>
      <c r="I669" t="s">
        <v>57</v>
      </c>
      <c r="J669">
        <v>2</v>
      </c>
      <c r="K669">
        <v>8200</v>
      </c>
      <c r="L669" t="s">
        <v>17</v>
      </c>
      <c r="M669" t="s">
        <v>52</v>
      </c>
      <c r="N669">
        <f t="shared" si="10"/>
        <v>16400</v>
      </c>
    </row>
    <row r="670" spans="1:14" x14ac:dyDescent="0.3">
      <c r="A670" t="s">
        <v>978</v>
      </c>
      <c r="B670" s="4">
        <v>46091</v>
      </c>
      <c r="C670" t="s">
        <v>950</v>
      </c>
      <c r="D670" t="s">
        <v>951</v>
      </c>
      <c r="E670" t="s">
        <v>15</v>
      </c>
      <c r="F670" t="s">
        <v>72</v>
      </c>
      <c r="G670" t="s">
        <v>84</v>
      </c>
      <c r="H670" t="s">
        <v>85</v>
      </c>
      <c r="I670" t="s">
        <v>51</v>
      </c>
      <c r="J670">
        <v>1</v>
      </c>
      <c r="K670">
        <v>760</v>
      </c>
      <c r="L670" t="s">
        <v>4</v>
      </c>
      <c r="M670" t="s">
        <v>58</v>
      </c>
      <c r="N670">
        <f t="shared" si="10"/>
        <v>760</v>
      </c>
    </row>
    <row r="671" spans="1:14" x14ac:dyDescent="0.3">
      <c r="A671" t="s">
        <v>979</v>
      </c>
      <c r="B671" s="4">
        <v>46122</v>
      </c>
      <c r="C671" t="s">
        <v>256</v>
      </c>
      <c r="D671" t="s">
        <v>199</v>
      </c>
      <c r="E671" t="s">
        <v>19</v>
      </c>
      <c r="F671" t="s">
        <v>72</v>
      </c>
      <c r="G671" t="s">
        <v>109</v>
      </c>
      <c r="H671" t="s">
        <v>110</v>
      </c>
      <c r="I671" t="s">
        <v>111</v>
      </c>
      <c r="J671">
        <v>1</v>
      </c>
      <c r="K671">
        <v>304</v>
      </c>
      <c r="L671" t="s">
        <v>9</v>
      </c>
      <c r="M671" t="s">
        <v>105</v>
      </c>
      <c r="N671">
        <f t="shared" si="10"/>
        <v>304</v>
      </c>
    </row>
    <row r="672" spans="1:14" x14ac:dyDescent="0.3">
      <c r="A672" t="s">
        <v>980</v>
      </c>
      <c r="B672" s="4">
        <v>46179</v>
      </c>
      <c r="C672" t="s">
        <v>204</v>
      </c>
      <c r="D672" t="s">
        <v>71</v>
      </c>
      <c r="E672" t="s">
        <v>15</v>
      </c>
      <c r="F672" t="s">
        <v>90</v>
      </c>
      <c r="G672" t="s">
        <v>208</v>
      </c>
      <c r="H672" t="s">
        <v>22</v>
      </c>
      <c r="I672" t="s">
        <v>68</v>
      </c>
      <c r="J672">
        <v>1</v>
      </c>
      <c r="K672">
        <v>2200</v>
      </c>
      <c r="L672" t="s">
        <v>17</v>
      </c>
      <c r="M672" t="s">
        <v>58</v>
      </c>
      <c r="N672">
        <f t="shared" si="10"/>
        <v>2200</v>
      </c>
    </row>
    <row r="673" spans="1:14" x14ac:dyDescent="0.3">
      <c r="A673" t="s">
        <v>981</v>
      </c>
      <c r="B673" s="4">
        <v>46152</v>
      </c>
      <c r="C673" t="s">
        <v>285</v>
      </c>
      <c r="D673" t="s">
        <v>47</v>
      </c>
      <c r="E673" t="s">
        <v>6</v>
      </c>
      <c r="F673" t="s">
        <v>72</v>
      </c>
      <c r="G673" t="s">
        <v>49</v>
      </c>
      <c r="H673" t="s">
        <v>50</v>
      </c>
      <c r="I673" t="s">
        <v>51</v>
      </c>
      <c r="J673">
        <v>4</v>
      </c>
      <c r="K673">
        <v>90.25</v>
      </c>
      <c r="L673" t="s">
        <v>4</v>
      </c>
      <c r="M673" t="s">
        <v>52</v>
      </c>
      <c r="N673">
        <f t="shared" si="10"/>
        <v>361</v>
      </c>
    </row>
    <row r="674" spans="1:14" x14ac:dyDescent="0.3">
      <c r="A674" t="s">
        <v>982</v>
      </c>
      <c r="B674" s="4">
        <v>46235</v>
      </c>
      <c r="C674" t="s">
        <v>323</v>
      </c>
      <c r="D674" t="s">
        <v>324</v>
      </c>
      <c r="E674" t="s">
        <v>15</v>
      </c>
      <c r="F674" t="s">
        <v>72</v>
      </c>
      <c r="G674" t="s">
        <v>49</v>
      </c>
      <c r="H674" t="s">
        <v>50</v>
      </c>
      <c r="I674" t="s">
        <v>51</v>
      </c>
      <c r="J674">
        <v>1</v>
      </c>
      <c r="K674">
        <v>95</v>
      </c>
      <c r="L674" t="s">
        <v>17</v>
      </c>
      <c r="M674" t="s">
        <v>105</v>
      </c>
      <c r="N674">
        <f t="shared" si="10"/>
        <v>95</v>
      </c>
    </row>
    <row r="675" spans="1:14" x14ac:dyDescent="0.3">
      <c r="A675" t="s">
        <v>983</v>
      </c>
      <c r="B675" s="4">
        <v>46202</v>
      </c>
      <c r="C675" t="s">
        <v>357</v>
      </c>
      <c r="D675" t="s">
        <v>358</v>
      </c>
      <c r="E675" t="s">
        <v>15</v>
      </c>
      <c r="F675" t="s">
        <v>90</v>
      </c>
      <c r="G675" t="s">
        <v>163</v>
      </c>
      <c r="H675" t="s">
        <v>164</v>
      </c>
      <c r="I675" t="s">
        <v>111</v>
      </c>
      <c r="J675">
        <v>2</v>
      </c>
      <c r="K675">
        <v>240</v>
      </c>
      <c r="L675" t="s">
        <v>4</v>
      </c>
      <c r="M675" t="s">
        <v>105</v>
      </c>
      <c r="N675">
        <f t="shared" si="10"/>
        <v>480</v>
      </c>
    </row>
    <row r="676" spans="1:14" x14ac:dyDescent="0.3">
      <c r="A676" t="s">
        <v>984</v>
      </c>
      <c r="B676" s="4">
        <v>46132</v>
      </c>
      <c r="C676" t="s">
        <v>492</v>
      </c>
      <c r="D676" t="s">
        <v>493</v>
      </c>
      <c r="E676" t="s">
        <v>6</v>
      </c>
      <c r="F676" t="s">
        <v>72</v>
      </c>
      <c r="G676" t="s">
        <v>67</v>
      </c>
      <c r="H676" t="s">
        <v>8</v>
      </c>
      <c r="I676" t="s">
        <v>68</v>
      </c>
      <c r="J676">
        <v>1</v>
      </c>
      <c r="K676">
        <v>1450</v>
      </c>
      <c r="L676" t="s">
        <v>9</v>
      </c>
      <c r="M676" t="s">
        <v>58</v>
      </c>
      <c r="N676">
        <f t="shared" si="10"/>
        <v>1450</v>
      </c>
    </row>
    <row r="677" spans="1:14" x14ac:dyDescent="0.3">
      <c r="A677" t="s">
        <v>985</v>
      </c>
      <c r="B677" s="4">
        <v>46128</v>
      </c>
      <c r="C677" t="s">
        <v>399</v>
      </c>
      <c r="D677" t="s">
        <v>400</v>
      </c>
      <c r="E677" t="s">
        <v>6</v>
      </c>
      <c r="F677" t="s">
        <v>72</v>
      </c>
      <c r="G677" t="s">
        <v>49</v>
      </c>
      <c r="H677" t="s">
        <v>50</v>
      </c>
      <c r="I677" t="s">
        <v>51</v>
      </c>
      <c r="J677">
        <v>1</v>
      </c>
      <c r="K677">
        <v>90.25</v>
      </c>
      <c r="L677" t="s">
        <v>2</v>
      </c>
      <c r="M677" t="s">
        <v>58</v>
      </c>
      <c r="N677">
        <f t="shared" si="10"/>
        <v>90.25</v>
      </c>
    </row>
    <row r="678" spans="1:14" x14ac:dyDescent="0.3">
      <c r="A678" t="s">
        <v>986</v>
      </c>
      <c r="B678" s="4">
        <v>46054</v>
      </c>
      <c r="C678" t="s">
        <v>237</v>
      </c>
      <c r="D678" t="s">
        <v>238</v>
      </c>
      <c r="E678" t="s">
        <v>10</v>
      </c>
      <c r="F678" t="s">
        <v>72</v>
      </c>
      <c r="G678" t="s">
        <v>84</v>
      </c>
      <c r="H678" t="s">
        <v>85</v>
      </c>
      <c r="I678" t="s">
        <v>51</v>
      </c>
      <c r="J678">
        <v>2</v>
      </c>
      <c r="K678">
        <v>760</v>
      </c>
      <c r="L678" t="s">
        <v>2</v>
      </c>
      <c r="M678" t="s">
        <v>52</v>
      </c>
      <c r="N678">
        <f t="shared" si="10"/>
        <v>1520</v>
      </c>
    </row>
    <row r="679" spans="1:14" x14ac:dyDescent="0.3">
      <c r="A679" t="s">
        <v>987</v>
      </c>
      <c r="B679" s="4">
        <v>46128</v>
      </c>
      <c r="C679" t="s">
        <v>873</v>
      </c>
      <c r="D679" t="s">
        <v>5</v>
      </c>
      <c r="E679" t="s">
        <v>15</v>
      </c>
      <c r="F679" t="s">
        <v>90</v>
      </c>
      <c r="G679" t="s">
        <v>61</v>
      </c>
      <c r="H679" t="s">
        <v>62</v>
      </c>
      <c r="I679" t="s">
        <v>63</v>
      </c>
      <c r="J679">
        <v>2</v>
      </c>
      <c r="K679">
        <v>110</v>
      </c>
      <c r="L679" t="s">
        <v>4</v>
      </c>
      <c r="M679" t="s">
        <v>80</v>
      </c>
      <c r="N679">
        <f t="shared" si="10"/>
        <v>220</v>
      </c>
    </row>
    <row r="680" spans="1:14" x14ac:dyDescent="0.3">
      <c r="A680" t="s">
        <v>988</v>
      </c>
      <c r="B680" s="4">
        <v>46132</v>
      </c>
      <c r="C680" t="s">
        <v>250</v>
      </c>
      <c r="D680" t="s">
        <v>251</v>
      </c>
      <c r="E680" t="s">
        <v>1</v>
      </c>
      <c r="F680" t="s">
        <v>48</v>
      </c>
      <c r="G680" t="s">
        <v>49</v>
      </c>
      <c r="H680" t="s">
        <v>50</v>
      </c>
      <c r="I680" t="s">
        <v>51</v>
      </c>
      <c r="J680">
        <v>2</v>
      </c>
      <c r="K680">
        <v>99.75</v>
      </c>
      <c r="L680" t="s">
        <v>7</v>
      </c>
      <c r="M680" t="s">
        <v>105</v>
      </c>
      <c r="N680">
        <f t="shared" si="10"/>
        <v>199.5</v>
      </c>
    </row>
    <row r="681" spans="1:14" x14ac:dyDescent="0.3">
      <c r="A681" t="s">
        <v>989</v>
      </c>
      <c r="B681" s="4">
        <v>46129</v>
      </c>
      <c r="C681" t="s">
        <v>143</v>
      </c>
      <c r="D681" t="s">
        <v>144</v>
      </c>
      <c r="E681" t="s">
        <v>15</v>
      </c>
      <c r="F681" t="s">
        <v>48</v>
      </c>
      <c r="G681" t="s">
        <v>79</v>
      </c>
      <c r="H681" t="s">
        <v>11</v>
      </c>
      <c r="I681" t="s">
        <v>57</v>
      </c>
      <c r="J681">
        <v>2</v>
      </c>
      <c r="K681">
        <v>5460</v>
      </c>
      <c r="L681" t="s">
        <v>4</v>
      </c>
      <c r="M681" t="s">
        <v>52</v>
      </c>
      <c r="N681">
        <f t="shared" si="10"/>
        <v>10920</v>
      </c>
    </row>
    <row r="682" spans="1:14" x14ac:dyDescent="0.3">
      <c r="A682" t="s">
        <v>990</v>
      </c>
      <c r="B682" s="4">
        <v>46166</v>
      </c>
      <c r="C682" t="s">
        <v>357</v>
      </c>
      <c r="D682" t="s">
        <v>358</v>
      </c>
      <c r="E682" t="s">
        <v>15</v>
      </c>
      <c r="F682" t="s">
        <v>90</v>
      </c>
      <c r="G682" t="s">
        <v>49</v>
      </c>
      <c r="H682" t="s">
        <v>50</v>
      </c>
      <c r="I682" t="s">
        <v>51</v>
      </c>
      <c r="J682">
        <v>2</v>
      </c>
      <c r="K682">
        <v>95</v>
      </c>
      <c r="L682" t="s">
        <v>17</v>
      </c>
      <c r="M682" t="s">
        <v>80</v>
      </c>
      <c r="N682">
        <f t="shared" si="10"/>
        <v>190</v>
      </c>
    </row>
    <row r="683" spans="1:14" x14ac:dyDescent="0.3">
      <c r="A683" t="s">
        <v>991</v>
      </c>
      <c r="B683" s="4">
        <v>46212</v>
      </c>
      <c r="C683" t="s">
        <v>46</v>
      </c>
      <c r="D683" t="s">
        <v>47</v>
      </c>
      <c r="E683" t="s">
        <v>1</v>
      </c>
      <c r="F683" t="s">
        <v>48</v>
      </c>
      <c r="G683" t="s">
        <v>109</v>
      </c>
      <c r="H683" t="s">
        <v>110</v>
      </c>
      <c r="I683" t="s">
        <v>111</v>
      </c>
      <c r="J683">
        <v>1</v>
      </c>
      <c r="K683">
        <v>304</v>
      </c>
      <c r="L683" t="s">
        <v>2</v>
      </c>
      <c r="M683" t="s">
        <v>52</v>
      </c>
      <c r="N683">
        <f t="shared" si="10"/>
        <v>304</v>
      </c>
    </row>
    <row r="684" spans="1:14" x14ac:dyDescent="0.3">
      <c r="A684" t="s">
        <v>992</v>
      </c>
      <c r="B684" s="4">
        <v>46049</v>
      </c>
      <c r="C684" t="s">
        <v>380</v>
      </c>
      <c r="D684" t="s">
        <v>381</v>
      </c>
      <c r="E684" t="s">
        <v>18</v>
      </c>
      <c r="F684" t="s">
        <v>72</v>
      </c>
      <c r="G684" t="s">
        <v>123</v>
      </c>
      <c r="H684" t="s">
        <v>124</v>
      </c>
      <c r="I684" t="s">
        <v>111</v>
      </c>
      <c r="J684">
        <v>1</v>
      </c>
      <c r="K684">
        <v>160</v>
      </c>
      <c r="L684" t="s">
        <v>7</v>
      </c>
      <c r="M684" t="s">
        <v>58</v>
      </c>
      <c r="N684">
        <f t="shared" si="10"/>
        <v>160</v>
      </c>
    </row>
    <row r="685" spans="1:14" x14ac:dyDescent="0.3">
      <c r="A685" t="s">
        <v>993</v>
      </c>
      <c r="B685" s="4">
        <v>46186</v>
      </c>
      <c r="C685" t="s">
        <v>457</v>
      </c>
      <c r="D685" t="s">
        <v>458</v>
      </c>
      <c r="E685" t="s">
        <v>1</v>
      </c>
      <c r="F685" t="s">
        <v>48</v>
      </c>
      <c r="G685" t="s">
        <v>109</v>
      </c>
      <c r="H685" t="s">
        <v>110</v>
      </c>
      <c r="I685" t="s">
        <v>111</v>
      </c>
      <c r="J685">
        <v>1</v>
      </c>
      <c r="K685">
        <v>304</v>
      </c>
      <c r="L685" t="s">
        <v>9</v>
      </c>
      <c r="M685" t="s">
        <v>105</v>
      </c>
      <c r="N685">
        <f t="shared" si="10"/>
        <v>304</v>
      </c>
    </row>
    <row r="686" spans="1:14" x14ac:dyDescent="0.3">
      <c r="A686" t="s">
        <v>994</v>
      </c>
      <c r="B686" s="4">
        <v>46046</v>
      </c>
      <c r="C686" t="s">
        <v>54</v>
      </c>
      <c r="D686" t="s">
        <v>55</v>
      </c>
      <c r="E686" t="s">
        <v>1</v>
      </c>
      <c r="F686" t="s">
        <v>48</v>
      </c>
      <c r="G686" t="s">
        <v>95</v>
      </c>
      <c r="H686" t="s">
        <v>96</v>
      </c>
      <c r="I686" t="s">
        <v>75</v>
      </c>
      <c r="J686">
        <v>1</v>
      </c>
      <c r="K686">
        <v>650</v>
      </c>
      <c r="L686" t="s">
        <v>7</v>
      </c>
      <c r="M686" t="s">
        <v>58</v>
      </c>
      <c r="N686">
        <f t="shared" si="10"/>
        <v>650</v>
      </c>
    </row>
    <row r="687" spans="1:14" x14ac:dyDescent="0.3">
      <c r="A687" t="s">
        <v>995</v>
      </c>
      <c r="B687" s="4">
        <v>46209</v>
      </c>
      <c r="C687" t="s">
        <v>267</v>
      </c>
      <c r="D687" t="s">
        <v>268</v>
      </c>
      <c r="E687" t="s">
        <v>19</v>
      </c>
      <c r="F687" t="s">
        <v>72</v>
      </c>
      <c r="G687" t="s">
        <v>163</v>
      </c>
      <c r="H687" t="s">
        <v>164</v>
      </c>
      <c r="I687" t="s">
        <v>111</v>
      </c>
      <c r="J687">
        <v>2</v>
      </c>
      <c r="K687">
        <v>240</v>
      </c>
      <c r="L687" t="s">
        <v>17</v>
      </c>
      <c r="M687" t="s">
        <v>80</v>
      </c>
      <c r="N687">
        <f t="shared" si="10"/>
        <v>480</v>
      </c>
    </row>
    <row r="688" spans="1:14" x14ac:dyDescent="0.3">
      <c r="A688" t="s">
        <v>996</v>
      </c>
      <c r="B688" s="4">
        <v>46222</v>
      </c>
      <c r="C688" t="s">
        <v>474</v>
      </c>
      <c r="D688" t="s">
        <v>417</v>
      </c>
      <c r="E688" t="s">
        <v>19</v>
      </c>
      <c r="F688" t="s">
        <v>90</v>
      </c>
      <c r="G688" t="s">
        <v>163</v>
      </c>
      <c r="H688" t="s">
        <v>164</v>
      </c>
      <c r="I688" t="s">
        <v>111</v>
      </c>
      <c r="J688">
        <v>4</v>
      </c>
      <c r="K688">
        <v>240</v>
      </c>
      <c r="L688" t="s">
        <v>4</v>
      </c>
      <c r="M688" t="s">
        <v>58</v>
      </c>
      <c r="N688">
        <f t="shared" si="10"/>
        <v>960</v>
      </c>
    </row>
    <row r="689" spans="1:14" x14ac:dyDescent="0.3">
      <c r="A689" t="s">
        <v>997</v>
      </c>
      <c r="B689" s="4">
        <v>46097</v>
      </c>
      <c r="C689" t="s">
        <v>189</v>
      </c>
      <c r="D689" t="s">
        <v>190</v>
      </c>
      <c r="E689" t="s">
        <v>6</v>
      </c>
      <c r="F689" t="s">
        <v>72</v>
      </c>
      <c r="G689" t="s">
        <v>84</v>
      </c>
      <c r="H689" t="s">
        <v>85</v>
      </c>
      <c r="I689" t="s">
        <v>51</v>
      </c>
      <c r="J689">
        <v>1</v>
      </c>
      <c r="K689">
        <v>798</v>
      </c>
      <c r="L689" t="s">
        <v>17</v>
      </c>
      <c r="M689" t="s">
        <v>52</v>
      </c>
      <c r="N689">
        <f t="shared" si="10"/>
        <v>798</v>
      </c>
    </row>
    <row r="690" spans="1:14" x14ac:dyDescent="0.3">
      <c r="A690" t="s">
        <v>998</v>
      </c>
      <c r="B690" s="4">
        <v>46196</v>
      </c>
      <c r="C690" t="s">
        <v>210</v>
      </c>
      <c r="D690" t="s">
        <v>211</v>
      </c>
      <c r="E690" t="s">
        <v>19</v>
      </c>
      <c r="F690" t="s">
        <v>48</v>
      </c>
      <c r="G690" t="s">
        <v>123</v>
      </c>
      <c r="H690" t="s">
        <v>124</v>
      </c>
      <c r="I690" t="s">
        <v>111</v>
      </c>
      <c r="J690">
        <v>1</v>
      </c>
      <c r="K690">
        <v>160</v>
      </c>
      <c r="L690" t="s">
        <v>2</v>
      </c>
      <c r="M690" t="s">
        <v>58</v>
      </c>
      <c r="N690">
        <f t="shared" si="10"/>
        <v>160</v>
      </c>
    </row>
    <row r="691" spans="1:14" x14ac:dyDescent="0.3">
      <c r="A691" t="s">
        <v>999</v>
      </c>
      <c r="B691" s="4">
        <v>46094</v>
      </c>
      <c r="C691" t="s">
        <v>457</v>
      </c>
      <c r="D691" t="s">
        <v>1000</v>
      </c>
      <c r="E691" t="s">
        <v>1</v>
      </c>
      <c r="F691" t="s">
        <v>48</v>
      </c>
      <c r="G691" t="s">
        <v>183</v>
      </c>
      <c r="H691" t="s">
        <v>184</v>
      </c>
      <c r="I691" t="s">
        <v>111</v>
      </c>
      <c r="J691">
        <v>4</v>
      </c>
      <c r="K691">
        <v>180</v>
      </c>
      <c r="L691" t="s">
        <v>2</v>
      </c>
      <c r="M691" t="s">
        <v>105</v>
      </c>
      <c r="N691">
        <f t="shared" si="10"/>
        <v>720</v>
      </c>
    </row>
    <row r="692" spans="1:14" x14ac:dyDescent="0.3">
      <c r="A692" t="s">
        <v>1001</v>
      </c>
      <c r="B692" s="4">
        <v>46156</v>
      </c>
      <c r="C692" t="s">
        <v>117</v>
      </c>
      <c r="D692" t="s">
        <v>118</v>
      </c>
      <c r="E692" t="s">
        <v>19</v>
      </c>
      <c r="F692" t="s">
        <v>48</v>
      </c>
      <c r="G692" t="s">
        <v>79</v>
      </c>
      <c r="H692" t="s">
        <v>11</v>
      </c>
      <c r="I692" t="s">
        <v>57</v>
      </c>
      <c r="J692">
        <v>1</v>
      </c>
      <c r="K692">
        <v>4940</v>
      </c>
      <c r="L692" t="s">
        <v>14</v>
      </c>
      <c r="M692" t="s">
        <v>80</v>
      </c>
      <c r="N692">
        <f t="shared" si="10"/>
        <v>4940</v>
      </c>
    </row>
    <row r="693" spans="1:14" x14ac:dyDescent="0.3">
      <c r="A693" t="s">
        <v>1002</v>
      </c>
      <c r="B693" s="4">
        <v>46258</v>
      </c>
      <c r="C693" t="s">
        <v>218</v>
      </c>
      <c r="D693" t="s">
        <v>219</v>
      </c>
      <c r="E693" t="s">
        <v>18</v>
      </c>
      <c r="F693" t="s">
        <v>72</v>
      </c>
      <c r="G693" t="s">
        <v>49</v>
      </c>
      <c r="H693" t="s">
        <v>50</v>
      </c>
      <c r="I693" t="s">
        <v>51</v>
      </c>
      <c r="J693">
        <v>2</v>
      </c>
      <c r="K693">
        <v>95</v>
      </c>
      <c r="L693" t="s">
        <v>7</v>
      </c>
      <c r="M693" t="s">
        <v>52</v>
      </c>
      <c r="N693">
        <f t="shared" si="10"/>
        <v>190</v>
      </c>
    </row>
    <row r="694" spans="1:14" x14ac:dyDescent="0.3">
      <c r="A694" t="s">
        <v>1003</v>
      </c>
      <c r="B694" s="4">
        <v>46140</v>
      </c>
      <c r="C694" t="s">
        <v>267</v>
      </c>
      <c r="D694" t="s">
        <v>268</v>
      </c>
      <c r="E694" t="s">
        <v>19</v>
      </c>
      <c r="F694" t="s">
        <v>72</v>
      </c>
      <c r="G694" t="s">
        <v>79</v>
      </c>
      <c r="H694" t="s">
        <v>11</v>
      </c>
      <c r="I694" t="s">
        <v>57</v>
      </c>
      <c r="J694">
        <v>6</v>
      </c>
      <c r="K694">
        <v>5460</v>
      </c>
      <c r="L694" t="s">
        <v>14</v>
      </c>
      <c r="M694" t="s">
        <v>80</v>
      </c>
      <c r="N694">
        <f t="shared" si="10"/>
        <v>32760</v>
      </c>
    </row>
    <row r="695" spans="1:14" x14ac:dyDescent="0.3">
      <c r="A695" t="s">
        <v>1004</v>
      </c>
      <c r="B695" s="4">
        <v>46153</v>
      </c>
      <c r="C695" t="s">
        <v>60</v>
      </c>
      <c r="D695" t="s">
        <v>5</v>
      </c>
      <c r="E695" t="s">
        <v>6</v>
      </c>
      <c r="F695" t="s">
        <v>48</v>
      </c>
      <c r="G695" t="s">
        <v>95</v>
      </c>
      <c r="H695" t="s">
        <v>96</v>
      </c>
      <c r="I695" t="s">
        <v>75</v>
      </c>
      <c r="J695">
        <v>1</v>
      </c>
      <c r="K695">
        <v>617.5</v>
      </c>
      <c r="L695" t="s">
        <v>17</v>
      </c>
      <c r="M695" t="s">
        <v>80</v>
      </c>
      <c r="N695">
        <f t="shared" si="10"/>
        <v>617.5</v>
      </c>
    </row>
    <row r="696" spans="1:14" x14ac:dyDescent="0.3">
      <c r="A696" t="s">
        <v>1005</v>
      </c>
      <c r="B696" s="4">
        <v>46229</v>
      </c>
      <c r="C696" t="s">
        <v>524</v>
      </c>
      <c r="D696" t="s">
        <v>1006</v>
      </c>
      <c r="E696" t="s">
        <v>10</v>
      </c>
      <c r="F696" t="s">
        <v>90</v>
      </c>
      <c r="G696" t="s">
        <v>67</v>
      </c>
      <c r="H696" t="s">
        <v>8</v>
      </c>
      <c r="I696" t="s">
        <v>68</v>
      </c>
      <c r="J696">
        <v>2</v>
      </c>
      <c r="K696">
        <v>1450</v>
      </c>
      <c r="L696" t="s">
        <v>17</v>
      </c>
      <c r="M696" t="s">
        <v>80</v>
      </c>
      <c r="N696">
        <f t="shared" si="10"/>
        <v>2900</v>
      </c>
    </row>
    <row r="697" spans="1:14" x14ac:dyDescent="0.3">
      <c r="A697" t="s">
        <v>1007</v>
      </c>
      <c r="B697" s="4">
        <v>46120</v>
      </c>
      <c r="C697" t="s">
        <v>873</v>
      </c>
      <c r="D697" t="s">
        <v>5</v>
      </c>
      <c r="E697" t="s">
        <v>15</v>
      </c>
      <c r="F697" t="s">
        <v>90</v>
      </c>
      <c r="G697" t="s">
        <v>73</v>
      </c>
      <c r="H697" t="s">
        <v>74</v>
      </c>
      <c r="I697" t="s">
        <v>75</v>
      </c>
      <c r="J697">
        <v>2</v>
      </c>
      <c r="K697">
        <v>420</v>
      </c>
      <c r="L697" t="s">
        <v>7</v>
      </c>
      <c r="M697" t="s">
        <v>105</v>
      </c>
      <c r="N697">
        <f t="shared" si="10"/>
        <v>840</v>
      </c>
    </row>
    <row r="698" spans="1:14" x14ac:dyDescent="0.3">
      <c r="A698" t="s">
        <v>1008</v>
      </c>
      <c r="B698" s="4">
        <v>46253</v>
      </c>
      <c r="C698" t="s">
        <v>394</v>
      </c>
      <c r="D698" t="s">
        <v>395</v>
      </c>
      <c r="E698" t="s">
        <v>15</v>
      </c>
      <c r="F698" t="s">
        <v>48</v>
      </c>
      <c r="G698" t="s">
        <v>73</v>
      </c>
      <c r="H698" t="s">
        <v>74</v>
      </c>
      <c r="I698" t="s">
        <v>75</v>
      </c>
      <c r="J698">
        <v>2</v>
      </c>
      <c r="K698">
        <v>399</v>
      </c>
      <c r="L698" t="s">
        <v>4</v>
      </c>
      <c r="M698" t="s">
        <v>58</v>
      </c>
      <c r="N698">
        <f t="shared" si="10"/>
        <v>798</v>
      </c>
    </row>
    <row r="699" spans="1:14" x14ac:dyDescent="0.3">
      <c r="A699" t="s">
        <v>1009</v>
      </c>
      <c r="B699" s="4">
        <v>46121</v>
      </c>
      <c r="C699" t="s">
        <v>250</v>
      </c>
      <c r="D699" t="s">
        <v>251</v>
      </c>
      <c r="E699" t="s">
        <v>1</v>
      </c>
      <c r="F699" t="s">
        <v>48</v>
      </c>
      <c r="G699" t="s">
        <v>183</v>
      </c>
      <c r="H699" t="s">
        <v>184</v>
      </c>
      <c r="I699" t="s">
        <v>111</v>
      </c>
      <c r="J699">
        <v>3</v>
      </c>
      <c r="K699">
        <v>180</v>
      </c>
      <c r="L699" t="s">
        <v>2</v>
      </c>
      <c r="M699" t="s">
        <v>52</v>
      </c>
      <c r="N699">
        <f t="shared" si="10"/>
        <v>540</v>
      </c>
    </row>
    <row r="700" spans="1:14" x14ac:dyDescent="0.3">
      <c r="A700" t="s">
        <v>1010</v>
      </c>
      <c r="B700" s="4">
        <v>46129</v>
      </c>
      <c r="C700" t="s">
        <v>344</v>
      </c>
      <c r="D700" t="s">
        <v>345</v>
      </c>
      <c r="E700" t="s">
        <v>6</v>
      </c>
      <c r="F700" t="s">
        <v>90</v>
      </c>
      <c r="G700" t="s">
        <v>61</v>
      </c>
      <c r="H700" t="s">
        <v>62</v>
      </c>
      <c r="I700" t="s">
        <v>63</v>
      </c>
      <c r="J700">
        <v>8</v>
      </c>
      <c r="K700">
        <v>110</v>
      </c>
      <c r="L700" t="s">
        <v>17</v>
      </c>
      <c r="M700" t="s">
        <v>58</v>
      </c>
      <c r="N700">
        <f t="shared" si="10"/>
        <v>880</v>
      </c>
    </row>
    <row r="701" spans="1:14" x14ac:dyDescent="0.3">
      <c r="A701" t="s">
        <v>1011</v>
      </c>
      <c r="B701" s="4">
        <v>46087</v>
      </c>
      <c r="C701" t="s">
        <v>234</v>
      </c>
      <c r="D701" t="s">
        <v>235</v>
      </c>
      <c r="E701" t="s">
        <v>15</v>
      </c>
      <c r="F701" t="s">
        <v>90</v>
      </c>
      <c r="G701" t="s">
        <v>91</v>
      </c>
      <c r="H701" t="s">
        <v>13</v>
      </c>
      <c r="I701" t="s">
        <v>57</v>
      </c>
      <c r="J701">
        <v>1</v>
      </c>
      <c r="K701">
        <v>3100</v>
      </c>
      <c r="L701" t="s">
        <v>2</v>
      </c>
      <c r="M701" t="s">
        <v>80</v>
      </c>
      <c r="N701">
        <f t="shared" si="10"/>
        <v>3100</v>
      </c>
    </row>
    <row r="702" spans="1:14" x14ac:dyDescent="0.3">
      <c r="A702" t="s">
        <v>1012</v>
      </c>
      <c r="B702" s="4">
        <v>46069</v>
      </c>
      <c r="C702" t="s">
        <v>260</v>
      </c>
      <c r="D702" t="s">
        <v>261</v>
      </c>
      <c r="E702" t="s">
        <v>1</v>
      </c>
      <c r="F702" t="s">
        <v>48</v>
      </c>
      <c r="G702" t="s">
        <v>49</v>
      </c>
      <c r="H702" t="s">
        <v>50</v>
      </c>
      <c r="I702" t="s">
        <v>51</v>
      </c>
      <c r="J702">
        <v>2</v>
      </c>
      <c r="K702">
        <v>95</v>
      </c>
      <c r="L702" t="s">
        <v>9</v>
      </c>
      <c r="M702" t="s">
        <v>80</v>
      </c>
      <c r="N702">
        <f t="shared" si="10"/>
        <v>190</v>
      </c>
    </row>
    <row r="703" spans="1:14" x14ac:dyDescent="0.3">
      <c r="A703" t="s">
        <v>1013</v>
      </c>
      <c r="B703" s="4">
        <v>46151</v>
      </c>
      <c r="C703" t="s">
        <v>573</v>
      </c>
      <c r="D703" t="s">
        <v>20</v>
      </c>
      <c r="E703" t="s">
        <v>10</v>
      </c>
      <c r="F703" t="s">
        <v>48</v>
      </c>
      <c r="G703" t="s">
        <v>79</v>
      </c>
      <c r="H703" t="s">
        <v>11</v>
      </c>
      <c r="I703" t="s">
        <v>57</v>
      </c>
      <c r="J703">
        <v>3</v>
      </c>
      <c r="K703">
        <v>5200</v>
      </c>
      <c r="L703" t="s">
        <v>2</v>
      </c>
      <c r="M703" t="s">
        <v>52</v>
      </c>
      <c r="N703">
        <f t="shared" si="10"/>
        <v>15600</v>
      </c>
    </row>
    <row r="704" spans="1:14" x14ac:dyDescent="0.3">
      <c r="A704" t="s">
        <v>1014</v>
      </c>
      <c r="B704" s="4">
        <v>46076</v>
      </c>
      <c r="C704" t="s">
        <v>303</v>
      </c>
      <c r="D704" t="s">
        <v>115</v>
      </c>
      <c r="E704" t="s">
        <v>1</v>
      </c>
      <c r="F704" t="s">
        <v>48</v>
      </c>
      <c r="G704" t="s">
        <v>91</v>
      </c>
      <c r="H704" t="s">
        <v>13</v>
      </c>
      <c r="I704" t="s">
        <v>57</v>
      </c>
      <c r="J704">
        <v>1</v>
      </c>
      <c r="K704">
        <v>3100</v>
      </c>
      <c r="L704" t="s">
        <v>17</v>
      </c>
      <c r="M704" t="s">
        <v>80</v>
      </c>
      <c r="N704">
        <f t="shared" si="10"/>
        <v>3100</v>
      </c>
    </row>
    <row r="705" spans="1:14" x14ac:dyDescent="0.3">
      <c r="A705" t="s">
        <v>1015</v>
      </c>
      <c r="B705" s="4">
        <v>46054</v>
      </c>
      <c r="C705" t="s">
        <v>451</v>
      </c>
      <c r="D705" t="s">
        <v>452</v>
      </c>
      <c r="E705" t="s">
        <v>6</v>
      </c>
      <c r="F705" t="s">
        <v>72</v>
      </c>
      <c r="G705" t="s">
        <v>67</v>
      </c>
      <c r="H705" t="s">
        <v>8</v>
      </c>
      <c r="I705" t="s">
        <v>68</v>
      </c>
      <c r="J705">
        <v>6</v>
      </c>
      <c r="K705">
        <v>1450</v>
      </c>
      <c r="L705" t="s">
        <v>17</v>
      </c>
      <c r="M705" t="s">
        <v>58</v>
      </c>
      <c r="N705">
        <f t="shared" si="10"/>
        <v>8700</v>
      </c>
    </row>
    <row r="706" spans="1:14" x14ac:dyDescent="0.3">
      <c r="A706" t="s">
        <v>1016</v>
      </c>
      <c r="B706" s="4">
        <v>46034</v>
      </c>
      <c r="C706" t="s">
        <v>270</v>
      </c>
      <c r="D706" t="s">
        <v>271</v>
      </c>
      <c r="E706" t="s">
        <v>18</v>
      </c>
      <c r="F706" t="s">
        <v>48</v>
      </c>
      <c r="G706" t="s">
        <v>49</v>
      </c>
      <c r="H706" t="s">
        <v>50</v>
      </c>
      <c r="I706" t="s">
        <v>51</v>
      </c>
      <c r="J706">
        <v>5</v>
      </c>
      <c r="K706">
        <v>95</v>
      </c>
      <c r="L706" t="s">
        <v>17</v>
      </c>
      <c r="M706" t="s">
        <v>80</v>
      </c>
      <c r="N706">
        <f t="shared" si="10"/>
        <v>475</v>
      </c>
    </row>
    <row r="707" spans="1:14" x14ac:dyDescent="0.3">
      <c r="A707" t="s">
        <v>1017</v>
      </c>
      <c r="B707" s="4">
        <v>46149</v>
      </c>
      <c r="C707" t="s">
        <v>215</v>
      </c>
      <c r="D707" t="s">
        <v>12</v>
      </c>
      <c r="E707" t="s">
        <v>10</v>
      </c>
      <c r="F707" t="s">
        <v>72</v>
      </c>
      <c r="G707" t="s">
        <v>91</v>
      </c>
      <c r="H707" t="s">
        <v>13</v>
      </c>
      <c r="I707" t="s">
        <v>57</v>
      </c>
      <c r="J707">
        <v>1</v>
      </c>
      <c r="K707">
        <v>3255</v>
      </c>
      <c r="L707" t="s">
        <v>7</v>
      </c>
      <c r="M707" t="s">
        <v>105</v>
      </c>
      <c r="N707">
        <f t="shared" ref="N707:N770" si="11">J707*K707</f>
        <v>3255</v>
      </c>
    </row>
    <row r="708" spans="1:14" x14ac:dyDescent="0.3">
      <c r="A708" t="s">
        <v>1018</v>
      </c>
      <c r="B708" s="4">
        <v>46037</v>
      </c>
      <c r="C708" t="s">
        <v>186</v>
      </c>
      <c r="D708" t="s">
        <v>187</v>
      </c>
      <c r="E708" t="s">
        <v>6</v>
      </c>
      <c r="F708" t="s">
        <v>72</v>
      </c>
      <c r="G708" t="s">
        <v>208</v>
      </c>
      <c r="H708" t="s">
        <v>22</v>
      </c>
      <c r="I708" t="s">
        <v>68</v>
      </c>
      <c r="J708">
        <v>2</v>
      </c>
      <c r="K708">
        <v>2200</v>
      </c>
      <c r="L708" t="s">
        <v>4</v>
      </c>
      <c r="M708" t="s">
        <v>58</v>
      </c>
      <c r="N708">
        <f t="shared" si="11"/>
        <v>4400</v>
      </c>
    </row>
    <row r="709" spans="1:14" x14ac:dyDescent="0.3">
      <c r="A709" t="s">
        <v>1019</v>
      </c>
      <c r="B709" s="4">
        <v>46124</v>
      </c>
      <c r="C709" t="s">
        <v>541</v>
      </c>
      <c r="D709" t="s">
        <v>211</v>
      </c>
      <c r="E709" t="s">
        <v>18</v>
      </c>
      <c r="F709" t="s">
        <v>48</v>
      </c>
      <c r="G709" t="s">
        <v>201</v>
      </c>
      <c r="H709" t="s">
        <v>202</v>
      </c>
      <c r="I709" t="s">
        <v>63</v>
      </c>
      <c r="J709">
        <v>5</v>
      </c>
      <c r="K709">
        <v>480</v>
      </c>
      <c r="L709" t="s">
        <v>4</v>
      </c>
      <c r="M709" t="s">
        <v>58</v>
      </c>
      <c r="N709">
        <f t="shared" si="11"/>
        <v>2400</v>
      </c>
    </row>
    <row r="710" spans="1:14" x14ac:dyDescent="0.3">
      <c r="A710" t="s">
        <v>1020</v>
      </c>
      <c r="B710" s="4">
        <v>46141</v>
      </c>
      <c r="C710" t="s">
        <v>234</v>
      </c>
      <c r="D710" t="s">
        <v>235</v>
      </c>
      <c r="E710" t="s">
        <v>15</v>
      </c>
      <c r="F710" t="s">
        <v>90</v>
      </c>
      <c r="G710" t="s">
        <v>84</v>
      </c>
      <c r="H710" t="s">
        <v>85</v>
      </c>
      <c r="I710" t="s">
        <v>51</v>
      </c>
      <c r="J710">
        <v>1</v>
      </c>
      <c r="K710">
        <v>722</v>
      </c>
      <c r="L710" t="s">
        <v>14</v>
      </c>
      <c r="M710" t="s">
        <v>52</v>
      </c>
      <c r="N710">
        <f t="shared" si="11"/>
        <v>722</v>
      </c>
    </row>
    <row r="711" spans="1:14" x14ac:dyDescent="0.3">
      <c r="A711" t="s">
        <v>1021</v>
      </c>
      <c r="B711" s="4">
        <v>46107</v>
      </c>
      <c r="C711" t="s">
        <v>328</v>
      </c>
      <c r="D711" t="s">
        <v>1022</v>
      </c>
      <c r="E711" t="s">
        <v>15</v>
      </c>
      <c r="F711" t="s">
        <v>48</v>
      </c>
      <c r="G711" t="s">
        <v>67</v>
      </c>
      <c r="H711" t="s">
        <v>8</v>
      </c>
      <c r="I711" t="s">
        <v>68</v>
      </c>
      <c r="J711">
        <v>2</v>
      </c>
      <c r="K711">
        <v>1450</v>
      </c>
      <c r="L711" t="s">
        <v>9</v>
      </c>
      <c r="M711" t="s">
        <v>80</v>
      </c>
      <c r="N711">
        <f t="shared" si="11"/>
        <v>2900</v>
      </c>
    </row>
    <row r="712" spans="1:14" x14ac:dyDescent="0.3">
      <c r="A712" t="s">
        <v>1023</v>
      </c>
      <c r="B712" s="4">
        <v>46144</v>
      </c>
      <c r="C712" t="s">
        <v>427</v>
      </c>
      <c r="D712" t="s">
        <v>428</v>
      </c>
      <c r="E712" t="s">
        <v>1</v>
      </c>
      <c r="F712" t="s">
        <v>48</v>
      </c>
      <c r="G712" t="s">
        <v>91</v>
      </c>
      <c r="H712" t="s">
        <v>13</v>
      </c>
      <c r="I712" t="s">
        <v>57</v>
      </c>
      <c r="J712">
        <v>8</v>
      </c>
      <c r="K712">
        <v>3100</v>
      </c>
      <c r="L712" t="s">
        <v>7</v>
      </c>
      <c r="M712" t="s">
        <v>52</v>
      </c>
      <c r="N712">
        <f t="shared" si="11"/>
        <v>24800</v>
      </c>
    </row>
    <row r="713" spans="1:14" x14ac:dyDescent="0.3">
      <c r="A713" t="s">
        <v>1024</v>
      </c>
      <c r="B713" s="4">
        <v>46077</v>
      </c>
      <c r="C713" t="s">
        <v>215</v>
      </c>
      <c r="D713" t="s">
        <v>12</v>
      </c>
      <c r="E713" t="s">
        <v>10</v>
      </c>
      <c r="F713" t="s">
        <v>72</v>
      </c>
      <c r="G713" t="s">
        <v>95</v>
      </c>
      <c r="H713" t="s">
        <v>96</v>
      </c>
      <c r="I713" t="s">
        <v>75</v>
      </c>
      <c r="J713">
        <v>2</v>
      </c>
      <c r="K713">
        <v>650</v>
      </c>
      <c r="L713" t="s">
        <v>7</v>
      </c>
      <c r="M713" t="s">
        <v>105</v>
      </c>
      <c r="N713">
        <f t="shared" si="11"/>
        <v>1300</v>
      </c>
    </row>
    <row r="714" spans="1:14" x14ac:dyDescent="0.3">
      <c r="A714" t="s">
        <v>1025</v>
      </c>
      <c r="B714" s="4">
        <v>46070</v>
      </c>
      <c r="C714" t="s">
        <v>152</v>
      </c>
      <c r="D714" t="s">
        <v>153</v>
      </c>
      <c r="E714" t="s">
        <v>15</v>
      </c>
      <c r="F714" t="s">
        <v>48</v>
      </c>
      <c r="G714" t="s">
        <v>73</v>
      </c>
      <c r="H714" t="s">
        <v>74</v>
      </c>
      <c r="I714" t="s">
        <v>75</v>
      </c>
      <c r="J714">
        <v>2</v>
      </c>
      <c r="K714">
        <v>441</v>
      </c>
      <c r="L714" t="s">
        <v>2</v>
      </c>
      <c r="M714" t="s">
        <v>52</v>
      </c>
      <c r="N714">
        <f t="shared" si="11"/>
        <v>882</v>
      </c>
    </row>
    <row r="715" spans="1:14" x14ac:dyDescent="0.3">
      <c r="A715" t="s">
        <v>1026</v>
      </c>
      <c r="B715" s="4">
        <v>46208</v>
      </c>
      <c r="C715" t="s">
        <v>70</v>
      </c>
      <c r="D715" t="s">
        <v>71</v>
      </c>
      <c r="E715" t="s">
        <v>10</v>
      </c>
      <c r="F715" t="s">
        <v>276</v>
      </c>
      <c r="G715" t="s">
        <v>67</v>
      </c>
      <c r="H715" t="s">
        <v>8</v>
      </c>
      <c r="I715" t="s">
        <v>68</v>
      </c>
      <c r="J715">
        <v>1</v>
      </c>
      <c r="K715">
        <v>1450</v>
      </c>
      <c r="L715" t="s">
        <v>17</v>
      </c>
      <c r="M715" t="s">
        <v>105</v>
      </c>
      <c r="N715">
        <f t="shared" si="11"/>
        <v>1450</v>
      </c>
    </row>
    <row r="716" spans="1:14" x14ac:dyDescent="0.3">
      <c r="A716" t="s">
        <v>1027</v>
      </c>
      <c r="B716" s="4">
        <v>46074</v>
      </c>
      <c r="C716" t="s">
        <v>166</v>
      </c>
      <c r="D716" t="s">
        <v>167</v>
      </c>
      <c r="E716" t="s">
        <v>1</v>
      </c>
      <c r="F716" t="s">
        <v>48</v>
      </c>
      <c r="G716" t="s">
        <v>109</v>
      </c>
      <c r="H716" t="s">
        <v>110</v>
      </c>
      <c r="I716" t="s">
        <v>111</v>
      </c>
      <c r="J716">
        <v>1</v>
      </c>
      <c r="K716">
        <v>320</v>
      </c>
      <c r="L716" t="s">
        <v>4</v>
      </c>
      <c r="M716" t="s">
        <v>58</v>
      </c>
      <c r="N716">
        <f t="shared" si="11"/>
        <v>320</v>
      </c>
    </row>
    <row r="717" spans="1:14" x14ac:dyDescent="0.3">
      <c r="A717" t="s">
        <v>1028</v>
      </c>
      <c r="B717" s="4">
        <v>46151</v>
      </c>
      <c r="C717" t="s">
        <v>60</v>
      </c>
      <c r="D717" t="s">
        <v>5</v>
      </c>
      <c r="E717" t="s">
        <v>6</v>
      </c>
      <c r="F717" t="s">
        <v>48</v>
      </c>
      <c r="G717" t="s">
        <v>95</v>
      </c>
      <c r="H717" t="s">
        <v>96</v>
      </c>
      <c r="I717" t="s">
        <v>75</v>
      </c>
      <c r="J717">
        <v>1</v>
      </c>
      <c r="K717">
        <v>682.5</v>
      </c>
      <c r="L717" t="s">
        <v>17</v>
      </c>
      <c r="M717" t="s">
        <v>80</v>
      </c>
      <c r="N717">
        <f t="shared" si="11"/>
        <v>682.5</v>
      </c>
    </row>
    <row r="718" spans="1:14" x14ac:dyDescent="0.3">
      <c r="A718" t="s">
        <v>1029</v>
      </c>
      <c r="B718" s="4">
        <v>46100</v>
      </c>
      <c r="C718" t="s">
        <v>65</v>
      </c>
      <c r="D718" t="s">
        <v>66</v>
      </c>
      <c r="E718" t="s">
        <v>1</v>
      </c>
      <c r="F718" t="s">
        <v>48</v>
      </c>
      <c r="G718" t="s">
        <v>205</v>
      </c>
      <c r="H718" t="s">
        <v>206</v>
      </c>
      <c r="I718" t="s">
        <v>51</v>
      </c>
      <c r="J718">
        <v>1</v>
      </c>
      <c r="K718">
        <v>619.5</v>
      </c>
      <c r="L718" t="s">
        <v>14</v>
      </c>
      <c r="M718" t="s">
        <v>105</v>
      </c>
      <c r="N718">
        <f t="shared" si="11"/>
        <v>619.5</v>
      </c>
    </row>
    <row r="719" spans="1:14" x14ac:dyDescent="0.3">
      <c r="A719" t="s">
        <v>1030</v>
      </c>
      <c r="B719" s="4">
        <v>46039</v>
      </c>
      <c r="C719" t="s">
        <v>230</v>
      </c>
      <c r="D719" t="s">
        <v>231</v>
      </c>
      <c r="E719" t="s">
        <v>1</v>
      </c>
      <c r="F719" t="s">
        <v>48</v>
      </c>
      <c r="G719" t="s">
        <v>123</v>
      </c>
      <c r="H719" t="s">
        <v>124</v>
      </c>
      <c r="I719" t="s">
        <v>111</v>
      </c>
      <c r="J719">
        <v>1</v>
      </c>
      <c r="K719">
        <v>160</v>
      </c>
      <c r="L719" t="s">
        <v>4</v>
      </c>
      <c r="M719" t="s">
        <v>58</v>
      </c>
      <c r="N719">
        <f t="shared" si="11"/>
        <v>160</v>
      </c>
    </row>
    <row r="720" spans="1:14" x14ac:dyDescent="0.3">
      <c r="A720" t="s">
        <v>1031</v>
      </c>
      <c r="B720" s="4">
        <v>46090</v>
      </c>
      <c r="C720" t="s">
        <v>380</v>
      </c>
      <c r="D720" t="s">
        <v>381</v>
      </c>
      <c r="E720" t="s">
        <v>18</v>
      </c>
      <c r="F720" t="s">
        <v>72</v>
      </c>
      <c r="G720" t="s">
        <v>61</v>
      </c>
      <c r="H720" t="s">
        <v>62</v>
      </c>
      <c r="I720" t="s">
        <v>63</v>
      </c>
      <c r="J720">
        <v>2</v>
      </c>
      <c r="K720">
        <v>115.5</v>
      </c>
      <c r="L720" t="s">
        <v>17</v>
      </c>
      <c r="M720" t="s">
        <v>80</v>
      </c>
      <c r="N720">
        <f t="shared" si="11"/>
        <v>231</v>
      </c>
    </row>
    <row r="721" spans="1:14" x14ac:dyDescent="0.3">
      <c r="A721" t="s">
        <v>1032</v>
      </c>
      <c r="B721" s="4">
        <v>46129</v>
      </c>
      <c r="C721" t="s">
        <v>492</v>
      </c>
      <c r="D721" t="s">
        <v>493</v>
      </c>
      <c r="E721" t="s">
        <v>6</v>
      </c>
      <c r="F721" t="s">
        <v>72</v>
      </c>
      <c r="G721" t="s">
        <v>136</v>
      </c>
      <c r="H721" t="s">
        <v>137</v>
      </c>
      <c r="I721" t="s">
        <v>111</v>
      </c>
      <c r="J721">
        <v>1</v>
      </c>
      <c r="K721">
        <v>89.25</v>
      </c>
      <c r="L721" t="s">
        <v>9</v>
      </c>
      <c r="M721" t="s">
        <v>52</v>
      </c>
      <c r="N721">
        <f t="shared" si="11"/>
        <v>89.25</v>
      </c>
    </row>
    <row r="722" spans="1:14" x14ac:dyDescent="0.3">
      <c r="A722" t="s">
        <v>1033</v>
      </c>
      <c r="B722" s="4">
        <v>46114</v>
      </c>
      <c r="C722" t="s">
        <v>46</v>
      </c>
      <c r="D722" t="s">
        <v>47</v>
      </c>
      <c r="E722" t="s">
        <v>1</v>
      </c>
      <c r="F722" t="s">
        <v>48</v>
      </c>
      <c r="G722" t="s">
        <v>239</v>
      </c>
      <c r="H722" t="s">
        <v>240</v>
      </c>
      <c r="I722" t="s">
        <v>63</v>
      </c>
      <c r="J722">
        <v>1</v>
      </c>
      <c r="K722">
        <v>756</v>
      </c>
      <c r="L722" t="s">
        <v>4</v>
      </c>
      <c r="M722" t="s">
        <v>105</v>
      </c>
      <c r="N722">
        <f t="shared" si="11"/>
        <v>756</v>
      </c>
    </row>
    <row r="723" spans="1:14" x14ac:dyDescent="0.3">
      <c r="A723" t="s">
        <v>1034</v>
      </c>
      <c r="B723" s="4">
        <v>46121</v>
      </c>
      <c r="C723" t="s">
        <v>132</v>
      </c>
      <c r="D723" t="s">
        <v>20</v>
      </c>
      <c r="E723" t="s">
        <v>19</v>
      </c>
      <c r="F723" t="s">
        <v>90</v>
      </c>
      <c r="G723" t="s">
        <v>183</v>
      </c>
      <c r="H723" t="s">
        <v>184</v>
      </c>
      <c r="I723" t="s">
        <v>111</v>
      </c>
      <c r="J723">
        <v>3</v>
      </c>
      <c r="K723">
        <v>180</v>
      </c>
      <c r="L723" t="s">
        <v>2</v>
      </c>
      <c r="M723" t="s">
        <v>52</v>
      </c>
      <c r="N723">
        <f t="shared" si="11"/>
        <v>540</v>
      </c>
    </row>
    <row r="724" spans="1:14" x14ac:dyDescent="0.3">
      <c r="A724" t="s">
        <v>1035</v>
      </c>
      <c r="B724" s="4">
        <v>46187</v>
      </c>
      <c r="C724" t="s">
        <v>303</v>
      </c>
      <c r="D724" t="s">
        <v>115</v>
      </c>
      <c r="E724" t="s">
        <v>1</v>
      </c>
      <c r="F724" t="s">
        <v>48</v>
      </c>
      <c r="G724" t="s">
        <v>123</v>
      </c>
      <c r="H724" t="s">
        <v>124</v>
      </c>
      <c r="I724" t="s">
        <v>111</v>
      </c>
      <c r="J724">
        <v>4</v>
      </c>
      <c r="K724">
        <v>160</v>
      </c>
      <c r="L724" t="s">
        <v>4</v>
      </c>
      <c r="M724" t="s">
        <v>105</v>
      </c>
      <c r="N724">
        <f t="shared" si="11"/>
        <v>640</v>
      </c>
    </row>
    <row r="725" spans="1:14" x14ac:dyDescent="0.3">
      <c r="A725" t="s">
        <v>1036</v>
      </c>
      <c r="B725" s="4">
        <v>46044</v>
      </c>
      <c r="C725" t="s">
        <v>198</v>
      </c>
      <c r="D725" t="s">
        <v>199</v>
      </c>
      <c r="E725" t="s">
        <v>6</v>
      </c>
      <c r="F725" t="s">
        <v>72</v>
      </c>
      <c r="G725" t="s">
        <v>183</v>
      </c>
      <c r="H725" t="s">
        <v>184</v>
      </c>
      <c r="I725" t="s">
        <v>111</v>
      </c>
      <c r="J725">
        <v>1</v>
      </c>
      <c r="K725">
        <v>180</v>
      </c>
      <c r="L725" t="s">
        <v>7</v>
      </c>
      <c r="M725" t="s">
        <v>80</v>
      </c>
      <c r="N725">
        <f t="shared" si="11"/>
        <v>180</v>
      </c>
    </row>
    <row r="726" spans="1:14" x14ac:dyDescent="0.3">
      <c r="A726" t="s">
        <v>1037</v>
      </c>
      <c r="B726" s="4">
        <v>46205</v>
      </c>
      <c r="C726" t="s">
        <v>353</v>
      </c>
      <c r="D726" t="s">
        <v>354</v>
      </c>
      <c r="E726" t="s">
        <v>18</v>
      </c>
      <c r="F726" t="s">
        <v>90</v>
      </c>
      <c r="G726" t="s">
        <v>239</v>
      </c>
      <c r="H726" t="s">
        <v>240</v>
      </c>
      <c r="I726" t="s">
        <v>63</v>
      </c>
      <c r="J726">
        <v>1</v>
      </c>
      <c r="K726">
        <v>720</v>
      </c>
      <c r="L726" t="s">
        <v>7</v>
      </c>
      <c r="M726" t="s">
        <v>105</v>
      </c>
      <c r="N726">
        <f t="shared" si="11"/>
        <v>720</v>
      </c>
    </row>
    <row r="727" spans="1:14" x14ac:dyDescent="0.3">
      <c r="A727" t="s">
        <v>1038</v>
      </c>
      <c r="B727" s="4">
        <v>46215</v>
      </c>
      <c r="C727" t="s">
        <v>46</v>
      </c>
      <c r="D727" t="s">
        <v>47</v>
      </c>
      <c r="E727" t="s">
        <v>1</v>
      </c>
      <c r="F727" t="s">
        <v>48</v>
      </c>
      <c r="G727" t="s">
        <v>201</v>
      </c>
      <c r="H727" t="s">
        <v>202</v>
      </c>
      <c r="I727" t="s">
        <v>63</v>
      </c>
      <c r="J727">
        <v>2</v>
      </c>
      <c r="K727">
        <v>480</v>
      </c>
      <c r="L727" t="s">
        <v>4</v>
      </c>
      <c r="M727" t="s">
        <v>52</v>
      </c>
      <c r="N727">
        <f t="shared" si="11"/>
        <v>960</v>
      </c>
    </row>
    <row r="728" spans="1:14" x14ac:dyDescent="0.3">
      <c r="A728" t="s">
        <v>1039</v>
      </c>
      <c r="B728" s="4">
        <v>46056</v>
      </c>
      <c r="C728" t="s">
        <v>573</v>
      </c>
      <c r="D728" t="s">
        <v>1040</v>
      </c>
      <c r="E728" t="s">
        <v>10</v>
      </c>
      <c r="F728" t="s">
        <v>48</v>
      </c>
      <c r="G728" t="s">
        <v>136</v>
      </c>
      <c r="H728" t="s">
        <v>137</v>
      </c>
      <c r="I728" t="s">
        <v>111</v>
      </c>
      <c r="J728">
        <v>3</v>
      </c>
      <c r="K728">
        <v>85</v>
      </c>
      <c r="L728" t="s">
        <v>2</v>
      </c>
      <c r="M728" t="s">
        <v>58</v>
      </c>
      <c r="N728">
        <f t="shared" si="11"/>
        <v>255</v>
      </c>
    </row>
    <row r="729" spans="1:14" x14ac:dyDescent="0.3">
      <c r="A729" t="s">
        <v>1041</v>
      </c>
      <c r="B729" s="4">
        <v>46125</v>
      </c>
      <c r="C729" t="s">
        <v>639</v>
      </c>
      <c r="D729" t="s">
        <v>21</v>
      </c>
      <c r="E729" t="s">
        <v>15</v>
      </c>
      <c r="F729" t="s">
        <v>72</v>
      </c>
      <c r="G729" t="s">
        <v>123</v>
      </c>
      <c r="H729" t="s">
        <v>124</v>
      </c>
      <c r="I729" t="s">
        <v>111</v>
      </c>
      <c r="J729">
        <v>1</v>
      </c>
      <c r="K729">
        <v>152</v>
      </c>
      <c r="L729" t="s">
        <v>4</v>
      </c>
      <c r="M729" t="s">
        <v>58</v>
      </c>
      <c r="N729">
        <f t="shared" si="11"/>
        <v>152</v>
      </c>
    </row>
    <row r="730" spans="1:14" x14ac:dyDescent="0.3">
      <c r="A730" t="s">
        <v>1042</v>
      </c>
      <c r="B730" s="4">
        <v>46158</v>
      </c>
      <c r="C730" t="s">
        <v>496</v>
      </c>
      <c r="D730" t="s">
        <v>5</v>
      </c>
      <c r="E730" t="s">
        <v>19</v>
      </c>
      <c r="F730" t="s">
        <v>48</v>
      </c>
      <c r="G730" t="s">
        <v>109</v>
      </c>
      <c r="H730" t="s">
        <v>110</v>
      </c>
      <c r="I730" t="s">
        <v>111</v>
      </c>
      <c r="J730">
        <v>4</v>
      </c>
      <c r="K730">
        <v>304</v>
      </c>
      <c r="L730" t="s">
        <v>14</v>
      </c>
      <c r="M730" t="s">
        <v>80</v>
      </c>
      <c r="N730">
        <f t="shared" si="11"/>
        <v>1216</v>
      </c>
    </row>
    <row r="731" spans="1:14" x14ac:dyDescent="0.3">
      <c r="A731" t="s">
        <v>1043</v>
      </c>
      <c r="B731" s="4">
        <v>46045</v>
      </c>
      <c r="C731" t="s">
        <v>950</v>
      </c>
      <c r="D731" t="s">
        <v>951</v>
      </c>
      <c r="E731" t="s">
        <v>15</v>
      </c>
      <c r="F731" t="s">
        <v>72</v>
      </c>
      <c r="G731" t="s">
        <v>208</v>
      </c>
      <c r="H731" t="s">
        <v>22</v>
      </c>
      <c r="I731" t="s">
        <v>68</v>
      </c>
      <c r="J731">
        <v>3</v>
      </c>
      <c r="K731">
        <v>2200</v>
      </c>
      <c r="L731" t="s">
        <v>7</v>
      </c>
      <c r="M731" t="s">
        <v>52</v>
      </c>
      <c r="N731">
        <f t="shared" si="11"/>
        <v>6600</v>
      </c>
    </row>
    <row r="732" spans="1:14" x14ac:dyDescent="0.3">
      <c r="A732" t="s">
        <v>1044</v>
      </c>
      <c r="B732" s="4">
        <v>46137</v>
      </c>
      <c r="C732" t="s">
        <v>244</v>
      </c>
      <c r="D732" t="s">
        <v>245</v>
      </c>
      <c r="E732" t="s">
        <v>18</v>
      </c>
      <c r="F732" t="s">
        <v>90</v>
      </c>
      <c r="G732" t="s">
        <v>239</v>
      </c>
      <c r="H732" t="s">
        <v>240</v>
      </c>
      <c r="I732" t="s">
        <v>63</v>
      </c>
      <c r="J732">
        <v>3</v>
      </c>
      <c r="K732">
        <v>720</v>
      </c>
      <c r="L732" t="s">
        <v>17</v>
      </c>
      <c r="M732" t="s">
        <v>52</v>
      </c>
      <c r="N732">
        <f t="shared" si="11"/>
        <v>2160</v>
      </c>
    </row>
    <row r="733" spans="1:14" x14ac:dyDescent="0.3">
      <c r="A733" t="s">
        <v>1045</v>
      </c>
      <c r="B733" s="4">
        <v>46193</v>
      </c>
      <c r="C733" t="s">
        <v>496</v>
      </c>
      <c r="D733" t="s">
        <v>5</v>
      </c>
      <c r="E733" t="s">
        <v>19</v>
      </c>
      <c r="F733" t="s">
        <v>48</v>
      </c>
      <c r="G733" t="s">
        <v>163</v>
      </c>
      <c r="H733" t="s">
        <v>164</v>
      </c>
      <c r="I733" t="s">
        <v>111</v>
      </c>
      <c r="J733">
        <v>2</v>
      </c>
      <c r="K733">
        <v>240</v>
      </c>
      <c r="L733" t="s">
        <v>4</v>
      </c>
      <c r="M733" t="s">
        <v>105</v>
      </c>
      <c r="N733">
        <f t="shared" si="11"/>
        <v>480</v>
      </c>
    </row>
    <row r="734" spans="1:14" x14ac:dyDescent="0.3">
      <c r="A734" t="s">
        <v>1046</v>
      </c>
      <c r="B734" s="4">
        <v>46093</v>
      </c>
      <c r="C734" t="s">
        <v>303</v>
      </c>
      <c r="D734" t="s">
        <v>115</v>
      </c>
      <c r="E734" t="s">
        <v>1</v>
      </c>
      <c r="F734" t="s">
        <v>48</v>
      </c>
      <c r="G734" t="s">
        <v>49</v>
      </c>
      <c r="H734" t="s">
        <v>50</v>
      </c>
      <c r="I734" t="s">
        <v>51</v>
      </c>
      <c r="J734">
        <v>2</v>
      </c>
      <c r="K734">
        <v>95</v>
      </c>
      <c r="L734" t="s">
        <v>2</v>
      </c>
      <c r="M734" t="s">
        <v>52</v>
      </c>
      <c r="N734">
        <f t="shared" si="11"/>
        <v>190</v>
      </c>
    </row>
    <row r="735" spans="1:14" x14ac:dyDescent="0.3">
      <c r="A735" t="s">
        <v>1047</v>
      </c>
      <c r="B735" s="4">
        <v>46185</v>
      </c>
      <c r="C735" t="s">
        <v>369</v>
      </c>
      <c r="D735" t="s">
        <v>370</v>
      </c>
      <c r="E735" t="s">
        <v>15</v>
      </c>
      <c r="F735" t="s">
        <v>90</v>
      </c>
      <c r="G735" t="s">
        <v>73</v>
      </c>
      <c r="H735" t="s">
        <v>74</v>
      </c>
      <c r="I735" t="s">
        <v>75</v>
      </c>
      <c r="J735">
        <v>3</v>
      </c>
      <c r="K735">
        <v>441</v>
      </c>
      <c r="L735" t="s">
        <v>4</v>
      </c>
      <c r="M735" t="s">
        <v>80</v>
      </c>
      <c r="N735">
        <f t="shared" si="11"/>
        <v>1323</v>
      </c>
    </row>
    <row r="736" spans="1:14" x14ac:dyDescent="0.3">
      <c r="A736" t="s">
        <v>1048</v>
      </c>
      <c r="B736" s="4">
        <v>46147</v>
      </c>
      <c r="C736" t="s">
        <v>174</v>
      </c>
      <c r="D736" t="s">
        <v>175</v>
      </c>
      <c r="E736" t="s">
        <v>10</v>
      </c>
      <c r="F736" t="s">
        <v>72</v>
      </c>
      <c r="G736" t="s">
        <v>201</v>
      </c>
      <c r="H736" t="s">
        <v>202</v>
      </c>
      <c r="I736" t="s">
        <v>63</v>
      </c>
      <c r="J736">
        <v>2</v>
      </c>
      <c r="K736">
        <v>456</v>
      </c>
      <c r="L736" t="s">
        <v>4</v>
      </c>
      <c r="M736" t="s">
        <v>80</v>
      </c>
      <c r="N736">
        <f t="shared" si="11"/>
        <v>912</v>
      </c>
    </row>
    <row r="737" spans="1:14" x14ac:dyDescent="0.3">
      <c r="A737" t="s">
        <v>1049</v>
      </c>
      <c r="B737" s="4">
        <v>46090</v>
      </c>
      <c r="C737" t="s">
        <v>102</v>
      </c>
      <c r="D737" t="s">
        <v>103</v>
      </c>
      <c r="E737" t="s">
        <v>10</v>
      </c>
      <c r="F737" t="s">
        <v>90</v>
      </c>
      <c r="G737" t="s">
        <v>95</v>
      </c>
      <c r="H737" t="s">
        <v>96</v>
      </c>
      <c r="I737" t="s">
        <v>75</v>
      </c>
      <c r="J737">
        <v>1</v>
      </c>
      <c r="K737">
        <v>617.5</v>
      </c>
      <c r="L737" t="s">
        <v>14</v>
      </c>
      <c r="M737" t="s">
        <v>52</v>
      </c>
      <c r="N737">
        <f t="shared" si="11"/>
        <v>617.5</v>
      </c>
    </row>
    <row r="738" spans="1:14" x14ac:dyDescent="0.3">
      <c r="A738" t="s">
        <v>1050</v>
      </c>
      <c r="B738" s="4">
        <v>46144</v>
      </c>
      <c r="C738" t="s">
        <v>492</v>
      </c>
      <c r="D738" t="s">
        <v>493</v>
      </c>
      <c r="E738" t="s">
        <v>6</v>
      </c>
      <c r="F738" t="s">
        <v>72</v>
      </c>
      <c r="G738" t="s">
        <v>239</v>
      </c>
      <c r="H738" t="s">
        <v>240</v>
      </c>
      <c r="I738" t="s">
        <v>63</v>
      </c>
      <c r="J738">
        <v>2</v>
      </c>
      <c r="K738">
        <v>720</v>
      </c>
      <c r="L738" t="s">
        <v>4</v>
      </c>
      <c r="M738" t="s">
        <v>80</v>
      </c>
      <c r="N738">
        <f t="shared" si="11"/>
        <v>1440</v>
      </c>
    </row>
    <row r="739" spans="1:14" x14ac:dyDescent="0.3">
      <c r="A739" t="s">
        <v>1051</v>
      </c>
      <c r="B739" s="4">
        <v>46228</v>
      </c>
      <c r="C739" t="s">
        <v>305</v>
      </c>
      <c r="D739" t="s">
        <v>306</v>
      </c>
      <c r="E739" t="s">
        <v>10</v>
      </c>
      <c r="F739" t="s">
        <v>90</v>
      </c>
      <c r="G739" t="s">
        <v>95</v>
      </c>
      <c r="H739" t="s">
        <v>96</v>
      </c>
      <c r="I739" t="s">
        <v>75</v>
      </c>
      <c r="J739">
        <v>1</v>
      </c>
      <c r="K739">
        <v>650</v>
      </c>
      <c r="L739" t="s">
        <v>14</v>
      </c>
      <c r="M739" t="s">
        <v>80</v>
      </c>
      <c r="N739">
        <f t="shared" si="11"/>
        <v>650</v>
      </c>
    </row>
    <row r="740" spans="1:14" x14ac:dyDescent="0.3">
      <c r="A740" t="s">
        <v>1052</v>
      </c>
      <c r="B740" s="4">
        <v>46249</v>
      </c>
      <c r="C740" t="s">
        <v>227</v>
      </c>
      <c r="D740" t="s">
        <v>228</v>
      </c>
      <c r="E740" t="s">
        <v>1</v>
      </c>
      <c r="F740" t="s">
        <v>90</v>
      </c>
      <c r="G740" t="s">
        <v>95</v>
      </c>
      <c r="H740" t="s">
        <v>96</v>
      </c>
      <c r="I740" t="s">
        <v>75</v>
      </c>
      <c r="J740">
        <v>2</v>
      </c>
      <c r="K740">
        <v>650</v>
      </c>
      <c r="L740" t="s">
        <v>9</v>
      </c>
      <c r="M740" t="s">
        <v>52</v>
      </c>
      <c r="N740">
        <f t="shared" si="11"/>
        <v>1300</v>
      </c>
    </row>
    <row r="741" spans="1:14" x14ac:dyDescent="0.3">
      <c r="A741" t="s">
        <v>1053</v>
      </c>
      <c r="B741" s="4">
        <v>46236</v>
      </c>
      <c r="C741" t="s">
        <v>474</v>
      </c>
      <c r="D741" t="s">
        <v>417</v>
      </c>
      <c r="E741" t="s">
        <v>19</v>
      </c>
      <c r="F741" t="s">
        <v>90</v>
      </c>
      <c r="G741" t="s">
        <v>109</v>
      </c>
      <c r="H741" t="s">
        <v>110</v>
      </c>
      <c r="I741" t="s">
        <v>111</v>
      </c>
      <c r="J741">
        <v>2</v>
      </c>
      <c r="K741">
        <v>320</v>
      </c>
      <c r="L741" t="s">
        <v>14</v>
      </c>
      <c r="M741" t="s">
        <v>105</v>
      </c>
      <c r="N741">
        <f t="shared" si="11"/>
        <v>640</v>
      </c>
    </row>
    <row r="742" spans="1:14" x14ac:dyDescent="0.3">
      <c r="A742" t="s">
        <v>1054</v>
      </c>
      <c r="B742" s="4">
        <v>46156</v>
      </c>
      <c r="C742" t="s">
        <v>310</v>
      </c>
      <c r="D742" t="s">
        <v>311</v>
      </c>
      <c r="E742" t="s">
        <v>19</v>
      </c>
      <c r="F742" t="s">
        <v>72</v>
      </c>
      <c r="G742" t="s">
        <v>56</v>
      </c>
      <c r="H742" t="s">
        <v>3</v>
      </c>
      <c r="I742" t="s">
        <v>57</v>
      </c>
      <c r="J742">
        <v>4</v>
      </c>
      <c r="K742">
        <v>8610</v>
      </c>
      <c r="L742" t="s">
        <v>2</v>
      </c>
      <c r="M742" t="s">
        <v>80</v>
      </c>
      <c r="N742">
        <f t="shared" si="11"/>
        <v>34440</v>
      </c>
    </row>
    <row r="743" spans="1:14" x14ac:dyDescent="0.3">
      <c r="A743" t="s">
        <v>1055</v>
      </c>
      <c r="B743" s="4">
        <v>46231</v>
      </c>
      <c r="C743" t="s">
        <v>399</v>
      </c>
      <c r="D743" t="s">
        <v>400</v>
      </c>
      <c r="E743" t="s">
        <v>6</v>
      </c>
      <c r="F743" t="s">
        <v>72</v>
      </c>
      <c r="G743" t="s">
        <v>49</v>
      </c>
      <c r="H743" t="s">
        <v>50</v>
      </c>
      <c r="I743" t="s">
        <v>51</v>
      </c>
      <c r="J743">
        <v>1</v>
      </c>
      <c r="K743">
        <v>95</v>
      </c>
      <c r="L743" t="s">
        <v>14</v>
      </c>
      <c r="M743" t="s">
        <v>52</v>
      </c>
      <c r="N743">
        <f t="shared" si="11"/>
        <v>95</v>
      </c>
    </row>
    <row r="744" spans="1:14" x14ac:dyDescent="0.3">
      <c r="A744" t="s">
        <v>1056</v>
      </c>
      <c r="B744" s="4">
        <v>46052</v>
      </c>
      <c r="C744" t="s">
        <v>140</v>
      </c>
      <c r="D744" t="s">
        <v>141</v>
      </c>
      <c r="E744" t="s">
        <v>1</v>
      </c>
      <c r="F744" t="s">
        <v>48</v>
      </c>
      <c r="G744" t="s">
        <v>239</v>
      </c>
      <c r="H744" t="s">
        <v>240</v>
      </c>
      <c r="I744" t="s">
        <v>63</v>
      </c>
      <c r="J744">
        <v>3</v>
      </c>
      <c r="K744">
        <v>756</v>
      </c>
      <c r="L744" t="s">
        <v>4</v>
      </c>
      <c r="M744" t="s">
        <v>80</v>
      </c>
      <c r="N744">
        <f t="shared" si="11"/>
        <v>2268</v>
      </c>
    </row>
    <row r="745" spans="1:14" x14ac:dyDescent="0.3">
      <c r="A745" t="s">
        <v>1057</v>
      </c>
      <c r="B745" s="4">
        <v>46072</v>
      </c>
      <c r="C745" t="s">
        <v>234</v>
      </c>
      <c r="D745" t="s">
        <v>235</v>
      </c>
      <c r="E745" t="s">
        <v>15</v>
      </c>
      <c r="F745" t="s">
        <v>90</v>
      </c>
      <c r="G745" t="s">
        <v>205</v>
      </c>
      <c r="H745" t="s">
        <v>206</v>
      </c>
      <c r="I745" t="s">
        <v>51</v>
      </c>
      <c r="J745">
        <v>1</v>
      </c>
      <c r="K745">
        <v>590</v>
      </c>
      <c r="L745" t="s">
        <v>14</v>
      </c>
      <c r="M745" t="s">
        <v>58</v>
      </c>
      <c r="N745">
        <f t="shared" si="11"/>
        <v>590</v>
      </c>
    </row>
    <row r="746" spans="1:14" x14ac:dyDescent="0.3">
      <c r="A746" t="s">
        <v>1058</v>
      </c>
      <c r="B746" s="4">
        <v>46096</v>
      </c>
      <c r="C746" t="s">
        <v>573</v>
      </c>
      <c r="D746" t="s">
        <v>20</v>
      </c>
      <c r="E746" t="s">
        <v>10</v>
      </c>
      <c r="F746" t="s">
        <v>48</v>
      </c>
      <c r="G746" t="s">
        <v>67</v>
      </c>
      <c r="H746" t="s">
        <v>8</v>
      </c>
      <c r="I746" t="s">
        <v>68</v>
      </c>
      <c r="J746">
        <v>1</v>
      </c>
      <c r="K746">
        <v>1450</v>
      </c>
      <c r="L746" t="s">
        <v>2</v>
      </c>
      <c r="M746" t="s">
        <v>58</v>
      </c>
      <c r="N746">
        <f t="shared" si="11"/>
        <v>1450</v>
      </c>
    </row>
    <row r="747" spans="1:14" x14ac:dyDescent="0.3">
      <c r="A747" t="s">
        <v>1059</v>
      </c>
      <c r="B747" s="4">
        <v>46062</v>
      </c>
      <c r="C747" t="s">
        <v>256</v>
      </c>
      <c r="D747" t="s">
        <v>199</v>
      </c>
      <c r="E747" t="s">
        <v>19</v>
      </c>
      <c r="F747" t="s">
        <v>72</v>
      </c>
      <c r="G747" t="s">
        <v>183</v>
      </c>
      <c r="H747" t="s">
        <v>184</v>
      </c>
      <c r="I747" t="s">
        <v>111</v>
      </c>
      <c r="J747">
        <v>1</v>
      </c>
      <c r="K747">
        <v>180</v>
      </c>
      <c r="L747" t="s">
        <v>7</v>
      </c>
      <c r="M747" t="s">
        <v>105</v>
      </c>
      <c r="N747">
        <f t="shared" si="11"/>
        <v>180</v>
      </c>
    </row>
    <row r="748" spans="1:14" x14ac:dyDescent="0.3">
      <c r="A748" t="s">
        <v>1060</v>
      </c>
      <c r="B748" s="4">
        <v>46119</v>
      </c>
      <c r="C748" t="s">
        <v>248</v>
      </c>
      <c r="D748" t="s">
        <v>94</v>
      </c>
      <c r="E748" t="s">
        <v>15</v>
      </c>
      <c r="F748" t="s">
        <v>90</v>
      </c>
      <c r="G748" t="s">
        <v>205</v>
      </c>
      <c r="H748" t="s">
        <v>206</v>
      </c>
      <c r="I748" t="s">
        <v>51</v>
      </c>
      <c r="J748">
        <v>2</v>
      </c>
      <c r="K748">
        <v>560.5</v>
      </c>
      <c r="L748" t="s">
        <v>7</v>
      </c>
      <c r="M748" t="s">
        <v>58</v>
      </c>
      <c r="N748">
        <f t="shared" si="11"/>
        <v>1121</v>
      </c>
    </row>
    <row r="749" spans="1:14" x14ac:dyDescent="0.3">
      <c r="A749" t="s">
        <v>1061</v>
      </c>
      <c r="B749" s="4">
        <v>46038</v>
      </c>
      <c r="C749" t="s">
        <v>149</v>
      </c>
      <c r="D749" t="s">
        <v>150</v>
      </c>
      <c r="E749" t="s">
        <v>6</v>
      </c>
      <c r="F749" t="s">
        <v>72</v>
      </c>
      <c r="G749" t="s">
        <v>208</v>
      </c>
      <c r="H749" t="s">
        <v>22</v>
      </c>
      <c r="I749" t="s">
        <v>68</v>
      </c>
      <c r="J749">
        <v>1</v>
      </c>
      <c r="K749">
        <v>2200</v>
      </c>
      <c r="L749" t="s">
        <v>14</v>
      </c>
      <c r="M749" t="s">
        <v>105</v>
      </c>
      <c r="N749">
        <f t="shared" si="11"/>
        <v>2200</v>
      </c>
    </row>
    <row r="750" spans="1:14" x14ac:dyDescent="0.3">
      <c r="A750" t="s">
        <v>1062</v>
      </c>
      <c r="B750" s="4">
        <v>46253</v>
      </c>
      <c r="C750" t="s">
        <v>573</v>
      </c>
      <c r="D750" t="s">
        <v>20</v>
      </c>
      <c r="E750" t="s">
        <v>10</v>
      </c>
      <c r="F750" t="s">
        <v>48</v>
      </c>
      <c r="G750" t="s">
        <v>79</v>
      </c>
      <c r="H750" t="s">
        <v>11</v>
      </c>
      <c r="I750" t="s">
        <v>57</v>
      </c>
      <c r="J750">
        <v>5</v>
      </c>
      <c r="K750">
        <v>5200</v>
      </c>
      <c r="L750" t="s">
        <v>14</v>
      </c>
      <c r="M750" t="s">
        <v>58</v>
      </c>
      <c r="N750">
        <f t="shared" si="11"/>
        <v>26000</v>
      </c>
    </row>
    <row r="751" spans="1:14" x14ac:dyDescent="0.3">
      <c r="A751" t="s">
        <v>1063</v>
      </c>
      <c r="B751" s="4">
        <v>46122</v>
      </c>
      <c r="C751" t="s">
        <v>510</v>
      </c>
      <c r="D751" t="s">
        <v>12</v>
      </c>
      <c r="E751" t="s">
        <v>10</v>
      </c>
      <c r="F751" t="s">
        <v>90</v>
      </c>
      <c r="G751" t="s">
        <v>56</v>
      </c>
      <c r="H751" t="s">
        <v>3</v>
      </c>
      <c r="I751" t="s">
        <v>57</v>
      </c>
      <c r="J751">
        <v>4</v>
      </c>
      <c r="K751">
        <v>8200</v>
      </c>
      <c r="L751" t="s">
        <v>9</v>
      </c>
      <c r="M751" t="s">
        <v>58</v>
      </c>
      <c r="N751">
        <f t="shared" si="11"/>
        <v>32800</v>
      </c>
    </row>
    <row r="752" spans="1:14" x14ac:dyDescent="0.3">
      <c r="A752" t="s">
        <v>1064</v>
      </c>
      <c r="B752" s="4">
        <v>46212</v>
      </c>
      <c r="C752" t="s">
        <v>189</v>
      </c>
      <c r="D752" t="s">
        <v>190</v>
      </c>
      <c r="E752" t="s">
        <v>6</v>
      </c>
      <c r="F752" t="s">
        <v>72</v>
      </c>
      <c r="G752" t="s">
        <v>73</v>
      </c>
      <c r="H752" t="s">
        <v>74</v>
      </c>
      <c r="I752" t="s">
        <v>75</v>
      </c>
      <c r="J752">
        <v>4</v>
      </c>
      <c r="K752">
        <v>441</v>
      </c>
      <c r="L752" t="s">
        <v>2</v>
      </c>
      <c r="M752" t="s">
        <v>52</v>
      </c>
      <c r="N752">
        <f t="shared" si="11"/>
        <v>1764</v>
      </c>
    </row>
    <row r="753" spans="1:14" x14ac:dyDescent="0.3">
      <c r="A753" t="s">
        <v>1065</v>
      </c>
      <c r="B753" s="4">
        <v>46198</v>
      </c>
      <c r="C753" t="s">
        <v>741</v>
      </c>
      <c r="D753" t="s">
        <v>159</v>
      </c>
      <c r="E753" t="s">
        <v>10</v>
      </c>
      <c r="F753" t="s">
        <v>48</v>
      </c>
      <c r="G753" t="s">
        <v>109</v>
      </c>
      <c r="H753" t="s">
        <v>110</v>
      </c>
      <c r="I753" t="s">
        <v>111</v>
      </c>
      <c r="J753">
        <v>8</v>
      </c>
      <c r="K753">
        <v>320</v>
      </c>
      <c r="L753" t="s">
        <v>9</v>
      </c>
      <c r="M753" t="s">
        <v>58</v>
      </c>
      <c r="N753">
        <f t="shared" si="11"/>
        <v>2560</v>
      </c>
    </row>
    <row r="754" spans="1:14" x14ac:dyDescent="0.3">
      <c r="A754" t="s">
        <v>1066</v>
      </c>
      <c r="B754" s="4">
        <v>46157</v>
      </c>
      <c r="C754" t="s">
        <v>377</v>
      </c>
      <c r="D754" t="s">
        <v>378</v>
      </c>
      <c r="E754" t="s">
        <v>6</v>
      </c>
      <c r="F754" t="s">
        <v>72</v>
      </c>
      <c r="G754" t="s">
        <v>49</v>
      </c>
      <c r="H754" t="s">
        <v>50</v>
      </c>
      <c r="I754" t="s">
        <v>51</v>
      </c>
      <c r="J754">
        <v>1</v>
      </c>
      <c r="K754">
        <v>95</v>
      </c>
      <c r="L754" t="s">
        <v>2</v>
      </c>
      <c r="M754" t="s">
        <v>80</v>
      </c>
      <c r="N754">
        <f t="shared" si="11"/>
        <v>95</v>
      </c>
    </row>
    <row r="755" spans="1:14" x14ac:dyDescent="0.3">
      <c r="A755" t="s">
        <v>1067</v>
      </c>
      <c r="B755" s="4">
        <v>46251</v>
      </c>
      <c r="C755" t="s">
        <v>189</v>
      </c>
      <c r="D755" t="s">
        <v>190</v>
      </c>
      <c r="E755" t="s">
        <v>6</v>
      </c>
      <c r="F755" t="s">
        <v>72</v>
      </c>
      <c r="G755" t="s">
        <v>201</v>
      </c>
      <c r="H755" t="s">
        <v>202</v>
      </c>
      <c r="I755" t="s">
        <v>63</v>
      </c>
      <c r="J755">
        <v>1</v>
      </c>
      <c r="K755">
        <v>480</v>
      </c>
      <c r="L755" t="s">
        <v>14</v>
      </c>
      <c r="M755" t="s">
        <v>52</v>
      </c>
      <c r="N755">
        <f t="shared" si="11"/>
        <v>480</v>
      </c>
    </row>
    <row r="756" spans="1:14" x14ac:dyDescent="0.3">
      <c r="A756" t="s">
        <v>1068</v>
      </c>
      <c r="B756" s="4">
        <v>46107</v>
      </c>
      <c r="C756" t="s">
        <v>335</v>
      </c>
      <c r="D756" t="s">
        <v>336</v>
      </c>
      <c r="E756" t="s">
        <v>6</v>
      </c>
      <c r="F756" t="s">
        <v>90</v>
      </c>
      <c r="G756" t="s">
        <v>95</v>
      </c>
      <c r="H756" t="s">
        <v>96</v>
      </c>
      <c r="I756" t="s">
        <v>75</v>
      </c>
      <c r="J756">
        <v>1</v>
      </c>
      <c r="K756">
        <v>650</v>
      </c>
      <c r="L756" t="s">
        <v>17</v>
      </c>
      <c r="M756" t="s">
        <v>58</v>
      </c>
      <c r="N756">
        <f t="shared" si="11"/>
        <v>650</v>
      </c>
    </row>
    <row r="757" spans="1:14" x14ac:dyDescent="0.3">
      <c r="A757" t="s">
        <v>1069</v>
      </c>
      <c r="B757" s="4">
        <v>46026</v>
      </c>
      <c r="C757" t="s">
        <v>196</v>
      </c>
      <c r="D757" t="s">
        <v>21</v>
      </c>
      <c r="E757" t="s">
        <v>18</v>
      </c>
      <c r="F757" t="s">
        <v>48</v>
      </c>
      <c r="G757" t="s">
        <v>56</v>
      </c>
      <c r="H757" t="s">
        <v>3</v>
      </c>
      <c r="I757" t="s">
        <v>57</v>
      </c>
      <c r="J757">
        <v>8</v>
      </c>
      <c r="K757">
        <v>8610</v>
      </c>
      <c r="L757" t="s">
        <v>2</v>
      </c>
      <c r="M757" t="s">
        <v>105</v>
      </c>
      <c r="N757">
        <f t="shared" si="11"/>
        <v>68880</v>
      </c>
    </row>
    <row r="758" spans="1:14" x14ac:dyDescent="0.3">
      <c r="A758" t="s">
        <v>1070</v>
      </c>
      <c r="B758" s="4">
        <v>46119</v>
      </c>
      <c r="C758" t="s">
        <v>873</v>
      </c>
      <c r="D758" t="s">
        <v>5</v>
      </c>
      <c r="E758" t="s">
        <v>15</v>
      </c>
      <c r="F758" t="s">
        <v>90</v>
      </c>
      <c r="G758" t="s">
        <v>208</v>
      </c>
      <c r="H758" t="s">
        <v>22</v>
      </c>
      <c r="I758" t="s">
        <v>68</v>
      </c>
      <c r="J758">
        <v>4</v>
      </c>
      <c r="K758">
        <v>2200</v>
      </c>
      <c r="L758" t="s">
        <v>9</v>
      </c>
      <c r="M758" t="s">
        <v>105</v>
      </c>
      <c r="N758">
        <f t="shared" si="11"/>
        <v>8800</v>
      </c>
    </row>
    <row r="759" spans="1:14" x14ac:dyDescent="0.3">
      <c r="A759" t="s">
        <v>1071</v>
      </c>
      <c r="B759" s="4">
        <v>46218</v>
      </c>
      <c r="C759" t="s">
        <v>126</v>
      </c>
      <c r="D759" t="s">
        <v>127</v>
      </c>
      <c r="E759" t="s">
        <v>15</v>
      </c>
      <c r="F759" t="s">
        <v>72</v>
      </c>
      <c r="G759" t="s">
        <v>61</v>
      </c>
      <c r="H759" t="s">
        <v>62</v>
      </c>
      <c r="I759" t="s">
        <v>63</v>
      </c>
      <c r="J759">
        <v>3</v>
      </c>
      <c r="K759">
        <v>104.5</v>
      </c>
      <c r="L759" t="s">
        <v>7</v>
      </c>
      <c r="M759" t="s">
        <v>52</v>
      </c>
      <c r="N759">
        <f t="shared" si="11"/>
        <v>313.5</v>
      </c>
    </row>
    <row r="760" spans="1:14" x14ac:dyDescent="0.3">
      <c r="A760" t="s">
        <v>1072</v>
      </c>
      <c r="B760" s="4">
        <v>46226</v>
      </c>
      <c r="C760" t="s">
        <v>234</v>
      </c>
      <c r="D760" t="s">
        <v>235</v>
      </c>
      <c r="E760" t="s">
        <v>15</v>
      </c>
      <c r="F760" t="s">
        <v>90</v>
      </c>
      <c r="G760" t="s">
        <v>49</v>
      </c>
      <c r="H760" t="s">
        <v>50</v>
      </c>
      <c r="I760" t="s">
        <v>51</v>
      </c>
      <c r="J760">
        <v>1</v>
      </c>
      <c r="K760">
        <v>95</v>
      </c>
      <c r="L760" t="s">
        <v>9</v>
      </c>
      <c r="M760" t="s">
        <v>80</v>
      </c>
      <c r="N760">
        <f t="shared" si="11"/>
        <v>95</v>
      </c>
    </row>
    <row r="761" spans="1:14" x14ac:dyDescent="0.3">
      <c r="A761" t="s">
        <v>1073</v>
      </c>
      <c r="B761" s="4">
        <v>46230</v>
      </c>
      <c r="C761" t="s">
        <v>538</v>
      </c>
      <c r="D761" t="s">
        <v>539</v>
      </c>
      <c r="E761" t="s">
        <v>15</v>
      </c>
      <c r="F761" t="s">
        <v>48</v>
      </c>
      <c r="G761" t="s">
        <v>201</v>
      </c>
      <c r="H761" t="s">
        <v>202</v>
      </c>
      <c r="I761" t="s">
        <v>63</v>
      </c>
      <c r="J761">
        <v>5</v>
      </c>
      <c r="K761">
        <v>480</v>
      </c>
      <c r="L761" t="s">
        <v>14</v>
      </c>
      <c r="M761" t="s">
        <v>105</v>
      </c>
      <c r="N761">
        <f t="shared" si="11"/>
        <v>2400</v>
      </c>
    </row>
    <row r="762" spans="1:14" x14ac:dyDescent="0.3">
      <c r="A762" t="s">
        <v>1074</v>
      </c>
      <c r="B762" s="4">
        <v>46088</v>
      </c>
      <c r="C762" t="s">
        <v>433</v>
      </c>
      <c r="D762" t="s">
        <v>130</v>
      </c>
      <c r="E762" t="s">
        <v>10</v>
      </c>
      <c r="F762" t="s">
        <v>48</v>
      </c>
      <c r="G762" t="s">
        <v>208</v>
      </c>
      <c r="H762" t="s">
        <v>22</v>
      </c>
      <c r="I762" t="s">
        <v>68</v>
      </c>
      <c r="J762">
        <v>5</v>
      </c>
      <c r="K762">
        <v>2200</v>
      </c>
      <c r="L762" t="s">
        <v>2</v>
      </c>
      <c r="M762" t="s">
        <v>105</v>
      </c>
      <c r="N762">
        <f t="shared" si="11"/>
        <v>11000</v>
      </c>
    </row>
    <row r="763" spans="1:14" x14ac:dyDescent="0.3">
      <c r="A763" t="s">
        <v>1075</v>
      </c>
      <c r="B763" s="4">
        <v>46162</v>
      </c>
      <c r="C763" t="s">
        <v>538</v>
      </c>
      <c r="D763" t="s">
        <v>539</v>
      </c>
      <c r="E763" t="s">
        <v>15</v>
      </c>
      <c r="F763" t="s">
        <v>48</v>
      </c>
      <c r="G763" t="s">
        <v>239</v>
      </c>
      <c r="H763" t="s">
        <v>240</v>
      </c>
      <c r="I763" t="s">
        <v>63</v>
      </c>
      <c r="J763">
        <v>3</v>
      </c>
      <c r="K763">
        <v>720</v>
      </c>
      <c r="L763" t="s">
        <v>17</v>
      </c>
      <c r="M763" t="s">
        <v>52</v>
      </c>
      <c r="N763">
        <f t="shared" si="11"/>
        <v>2160</v>
      </c>
    </row>
    <row r="764" spans="1:14" x14ac:dyDescent="0.3">
      <c r="A764" t="s">
        <v>1076</v>
      </c>
      <c r="B764" s="4">
        <v>46106</v>
      </c>
      <c r="C764" t="s">
        <v>364</v>
      </c>
      <c r="D764" t="s">
        <v>365</v>
      </c>
      <c r="E764" t="s">
        <v>6</v>
      </c>
      <c r="F764" t="s">
        <v>90</v>
      </c>
      <c r="G764" t="s">
        <v>201</v>
      </c>
      <c r="H764" t="s">
        <v>202</v>
      </c>
      <c r="I764" t="s">
        <v>63</v>
      </c>
      <c r="J764">
        <v>3</v>
      </c>
      <c r="K764">
        <v>480</v>
      </c>
      <c r="L764" t="s">
        <v>17</v>
      </c>
      <c r="M764" t="s">
        <v>52</v>
      </c>
      <c r="N764">
        <f t="shared" si="11"/>
        <v>1440</v>
      </c>
    </row>
    <row r="765" spans="1:14" x14ac:dyDescent="0.3">
      <c r="A765" t="s">
        <v>1077</v>
      </c>
      <c r="B765" s="4">
        <v>46063</v>
      </c>
      <c r="C765" t="s">
        <v>385</v>
      </c>
      <c r="D765" t="s">
        <v>386</v>
      </c>
      <c r="E765" t="s">
        <v>15</v>
      </c>
      <c r="F765" t="s">
        <v>48</v>
      </c>
      <c r="G765" t="s">
        <v>84</v>
      </c>
      <c r="H765" t="s">
        <v>85</v>
      </c>
      <c r="I765" t="s">
        <v>51</v>
      </c>
      <c r="J765">
        <v>2</v>
      </c>
      <c r="K765">
        <v>760</v>
      </c>
      <c r="L765" t="s">
        <v>17</v>
      </c>
      <c r="M765" t="s">
        <v>80</v>
      </c>
      <c r="N765">
        <f t="shared" si="11"/>
        <v>1520</v>
      </c>
    </row>
    <row r="766" spans="1:14" x14ac:dyDescent="0.3">
      <c r="A766" t="s">
        <v>1078</v>
      </c>
      <c r="B766" s="4">
        <v>46222</v>
      </c>
      <c r="C766" t="s">
        <v>178</v>
      </c>
      <c r="D766" t="s">
        <v>179</v>
      </c>
      <c r="E766" t="s">
        <v>10</v>
      </c>
      <c r="F766" t="s">
        <v>48</v>
      </c>
      <c r="G766" t="s">
        <v>136</v>
      </c>
      <c r="H766" t="s">
        <v>137</v>
      </c>
      <c r="I766" t="s">
        <v>111</v>
      </c>
      <c r="J766">
        <v>3</v>
      </c>
      <c r="K766">
        <v>85</v>
      </c>
      <c r="L766" t="s">
        <v>2</v>
      </c>
      <c r="M766" t="s">
        <v>52</v>
      </c>
      <c r="N766">
        <f t="shared" si="11"/>
        <v>255</v>
      </c>
    </row>
    <row r="767" spans="1:14" x14ac:dyDescent="0.3">
      <c r="A767" t="s">
        <v>1079</v>
      </c>
      <c r="B767" s="4">
        <v>46182</v>
      </c>
      <c r="C767" t="s">
        <v>132</v>
      </c>
      <c r="D767" t="s">
        <v>20</v>
      </c>
      <c r="E767" t="s">
        <v>19</v>
      </c>
      <c r="F767" t="s">
        <v>90</v>
      </c>
      <c r="G767" t="s">
        <v>136</v>
      </c>
      <c r="H767" t="s">
        <v>137</v>
      </c>
      <c r="I767" t="s">
        <v>111</v>
      </c>
      <c r="J767">
        <v>5</v>
      </c>
      <c r="K767">
        <v>89.25</v>
      </c>
      <c r="L767" t="s">
        <v>9</v>
      </c>
      <c r="M767" t="s">
        <v>80</v>
      </c>
      <c r="N767">
        <f t="shared" si="11"/>
        <v>446.25</v>
      </c>
    </row>
    <row r="768" spans="1:14" x14ac:dyDescent="0.3">
      <c r="A768" t="s">
        <v>1080</v>
      </c>
      <c r="B768" s="4">
        <v>46192</v>
      </c>
      <c r="C768" t="s">
        <v>218</v>
      </c>
      <c r="D768" t="s">
        <v>219</v>
      </c>
      <c r="E768" t="s">
        <v>18</v>
      </c>
      <c r="F768" t="s">
        <v>72</v>
      </c>
      <c r="G768" t="s">
        <v>183</v>
      </c>
      <c r="H768" t="s">
        <v>184</v>
      </c>
      <c r="I768" t="s">
        <v>111</v>
      </c>
      <c r="J768">
        <v>8</v>
      </c>
      <c r="K768">
        <v>180</v>
      </c>
      <c r="L768" t="s">
        <v>9</v>
      </c>
      <c r="M768" t="s">
        <v>105</v>
      </c>
      <c r="N768">
        <f t="shared" si="11"/>
        <v>1440</v>
      </c>
    </row>
    <row r="769" spans="1:14" x14ac:dyDescent="0.3">
      <c r="A769" t="s">
        <v>1081</v>
      </c>
      <c r="B769" s="4">
        <v>46063</v>
      </c>
      <c r="C769" t="s">
        <v>510</v>
      </c>
      <c r="D769" t="s">
        <v>12</v>
      </c>
      <c r="E769" t="s">
        <v>10</v>
      </c>
      <c r="F769" t="s">
        <v>90</v>
      </c>
      <c r="G769" t="s">
        <v>49</v>
      </c>
      <c r="H769" t="s">
        <v>50</v>
      </c>
      <c r="I769" t="s">
        <v>51</v>
      </c>
      <c r="J769">
        <v>3</v>
      </c>
      <c r="K769">
        <v>95</v>
      </c>
      <c r="L769" t="s">
        <v>4</v>
      </c>
      <c r="M769" t="s">
        <v>80</v>
      </c>
      <c r="N769">
        <f t="shared" si="11"/>
        <v>285</v>
      </c>
    </row>
    <row r="770" spans="1:14" x14ac:dyDescent="0.3">
      <c r="A770" t="s">
        <v>1082</v>
      </c>
      <c r="B770" s="4">
        <v>46157</v>
      </c>
      <c r="C770" t="s">
        <v>89</v>
      </c>
      <c r="D770" t="s">
        <v>12</v>
      </c>
      <c r="E770" t="s">
        <v>1</v>
      </c>
      <c r="F770" t="s">
        <v>90</v>
      </c>
      <c r="G770" t="s">
        <v>67</v>
      </c>
      <c r="H770" t="s">
        <v>8</v>
      </c>
      <c r="I770" t="s">
        <v>68</v>
      </c>
      <c r="J770">
        <v>3</v>
      </c>
      <c r="K770">
        <v>1377.5</v>
      </c>
      <c r="L770" t="s">
        <v>9</v>
      </c>
      <c r="M770" t="s">
        <v>52</v>
      </c>
      <c r="N770">
        <f t="shared" si="11"/>
        <v>4132.5</v>
      </c>
    </row>
    <row r="771" spans="1:14" x14ac:dyDescent="0.3">
      <c r="A771" t="s">
        <v>1083</v>
      </c>
      <c r="B771" s="4">
        <v>46075</v>
      </c>
      <c r="C771" t="s">
        <v>303</v>
      </c>
      <c r="D771" t="s">
        <v>115</v>
      </c>
      <c r="E771" t="s">
        <v>1</v>
      </c>
      <c r="F771" t="s">
        <v>48</v>
      </c>
      <c r="G771" t="s">
        <v>163</v>
      </c>
      <c r="H771" t="s">
        <v>164</v>
      </c>
      <c r="I771" t="s">
        <v>111</v>
      </c>
      <c r="J771">
        <v>1</v>
      </c>
      <c r="K771">
        <v>240</v>
      </c>
      <c r="L771" t="s">
        <v>14</v>
      </c>
      <c r="M771" t="s">
        <v>58</v>
      </c>
      <c r="N771">
        <f t="shared" ref="N771:N834" si="12">J771*K771</f>
        <v>240</v>
      </c>
    </row>
    <row r="772" spans="1:14" x14ac:dyDescent="0.3">
      <c r="A772" t="s">
        <v>1084</v>
      </c>
      <c r="B772" s="4">
        <v>46192</v>
      </c>
      <c r="C772" t="s">
        <v>237</v>
      </c>
      <c r="D772" t="s">
        <v>238</v>
      </c>
      <c r="E772" t="s">
        <v>10</v>
      </c>
      <c r="F772" t="s">
        <v>72</v>
      </c>
      <c r="G772" t="s">
        <v>109</v>
      </c>
      <c r="H772" t="s">
        <v>110</v>
      </c>
      <c r="I772" t="s">
        <v>111</v>
      </c>
      <c r="J772">
        <v>2</v>
      </c>
      <c r="K772">
        <v>336</v>
      </c>
      <c r="L772" t="s">
        <v>2</v>
      </c>
      <c r="M772" t="s">
        <v>80</v>
      </c>
      <c r="N772">
        <f t="shared" si="12"/>
        <v>672</v>
      </c>
    </row>
    <row r="773" spans="1:14" x14ac:dyDescent="0.3">
      <c r="A773" t="s">
        <v>1085</v>
      </c>
      <c r="B773" s="4">
        <v>46080</v>
      </c>
      <c r="C773" t="s">
        <v>463</v>
      </c>
      <c r="D773" t="s">
        <v>264</v>
      </c>
      <c r="E773" t="s">
        <v>6</v>
      </c>
      <c r="F773" t="s">
        <v>90</v>
      </c>
      <c r="G773" t="s">
        <v>201</v>
      </c>
      <c r="H773" t="s">
        <v>202</v>
      </c>
      <c r="I773" t="s">
        <v>63</v>
      </c>
      <c r="J773">
        <v>3</v>
      </c>
      <c r="K773">
        <v>456</v>
      </c>
      <c r="L773" t="s">
        <v>14</v>
      </c>
      <c r="M773" t="s">
        <v>52</v>
      </c>
      <c r="N773">
        <f t="shared" si="12"/>
        <v>1368</v>
      </c>
    </row>
    <row r="774" spans="1:14" x14ac:dyDescent="0.3">
      <c r="A774" t="s">
        <v>1086</v>
      </c>
      <c r="B774" s="4">
        <v>46251</v>
      </c>
      <c r="C774" t="s">
        <v>353</v>
      </c>
      <c r="D774" t="s">
        <v>354</v>
      </c>
      <c r="E774" t="s">
        <v>18</v>
      </c>
      <c r="F774" t="s">
        <v>90</v>
      </c>
      <c r="G774" t="s">
        <v>205</v>
      </c>
      <c r="H774" t="s">
        <v>206</v>
      </c>
      <c r="I774" t="s">
        <v>51</v>
      </c>
      <c r="J774">
        <v>4</v>
      </c>
      <c r="K774">
        <v>590</v>
      </c>
      <c r="L774" t="s">
        <v>2</v>
      </c>
      <c r="M774" t="s">
        <v>58</v>
      </c>
      <c r="N774">
        <f t="shared" si="12"/>
        <v>2360</v>
      </c>
    </row>
    <row r="775" spans="1:14" x14ac:dyDescent="0.3">
      <c r="A775" t="s">
        <v>1087</v>
      </c>
      <c r="B775" s="4">
        <v>46214</v>
      </c>
      <c r="C775" t="s">
        <v>102</v>
      </c>
      <c r="D775" t="s">
        <v>103</v>
      </c>
      <c r="E775" t="s">
        <v>10</v>
      </c>
      <c r="F775" t="s">
        <v>90</v>
      </c>
      <c r="G775" t="s">
        <v>49</v>
      </c>
      <c r="H775" t="s">
        <v>50</v>
      </c>
      <c r="I775" t="s">
        <v>51</v>
      </c>
      <c r="J775">
        <v>6</v>
      </c>
      <c r="K775">
        <v>95</v>
      </c>
      <c r="L775" t="s">
        <v>7</v>
      </c>
      <c r="M775" t="s">
        <v>58</v>
      </c>
      <c r="N775">
        <f t="shared" si="12"/>
        <v>570</v>
      </c>
    </row>
    <row r="776" spans="1:14" x14ac:dyDescent="0.3">
      <c r="A776" t="s">
        <v>1088</v>
      </c>
      <c r="B776" s="4">
        <v>46159</v>
      </c>
      <c r="C776" t="s">
        <v>204</v>
      </c>
      <c r="D776" t="s">
        <v>71</v>
      </c>
      <c r="E776" t="s">
        <v>15</v>
      </c>
      <c r="F776" t="s">
        <v>90</v>
      </c>
      <c r="G776" t="s">
        <v>91</v>
      </c>
      <c r="H776" t="s">
        <v>13</v>
      </c>
      <c r="I776" t="s">
        <v>57</v>
      </c>
      <c r="J776">
        <v>1</v>
      </c>
      <c r="K776">
        <v>2945</v>
      </c>
      <c r="L776" t="s">
        <v>7</v>
      </c>
      <c r="M776" t="s">
        <v>58</v>
      </c>
      <c r="N776">
        <f t="shared" si="12"/>
        <v>2945</v>
      </c>
    </row>
    <row r="777" spans="1:14" x14ac:dyDescent="0.3">
      <c r="A777" t="s">
        <v>1089</v>
      </c>
      <c r="B777" s="4">
        <v>46048</v>
      </c>
      <c r="C777" t="s">
        <v>361</v>
      </c>
      <c r="D777" t="s">
        <v>362</v>
      </c>
      <c r="E777" t="s">
        <v>15</v>
      </c>
      <c r="F777" t="s">
        <v>48</v>
      </c>
      <c r="G777" t="s">
        <v>84</v>
      </c>
      <c r="H777" t="s">
        <v>85</v>
      </c>
      <c r="I777" t="s">
        <v>51</v>
      </c>
      <c r="J777">
        <v>1</v>
      </c>
      <c r="K777">
        <v>760</v>
      </c>
      <c r="L777" t="s">
        <v>17</v>
      </c>
      <c r="M777" t="s">
        <v>105</v>
      </c>
      <c r="N777">
        <f t="shared" si="12"/>
        <v>760</v>
      </c>
    </row>
    <row r="778" spans="1:14" x14ac:dyDescent="0.3">
      <c r="A778" t="s">
        <v>1090</v>
      </c>
      <c r="B778" s="4">
        <v>46158</v>
      </c>
      <c r="C778" t="s">
        <v>227</v>
      </c>
      <c r="D778" t="s">
        <v>228</v>
      </c>
      <c r="E778" t="s">
        <v>1</v>
      </c>
      <c r="F778" t="s">
        <v>90</v>
      </c>
      <c r="G778" t="s">
        <v>79</v>
      </c>
      <c r="H778" t="s">
        <v>11</v>
      </c>
      <c r="I778" t="s">
        <v>57</v>
      </c>
      <c r="J778">
        <v>3</v>
      </c>
      <c r="K778">
        <v>5460</v>
      </c>
      <c r="L778" t="s">
        <v>2</v>
      </c>
      <c r="M778" t="s">
        <v>52</v>
      </c>
      <c r="N778">
        <f t="shared" si="12"/>
        <v>16380</v>
      </c>
    </row>
    <row r="779" spans="1:14" x14ac:dyDescent="0.3">
      <c r="A779" t="s">
        <v>1091</v>
      </c>
      <c r="B779" s="4">
        <v>46130</v>
      </c>
      <c r="C779" t="s">
        <v>538</v>
      </c>
      <c r="D779" t="s">
        <v>539</v>
      </c>
      <c r="E779" t="s">
        <v>15</v>
      </c>
      <c r="F779" t="s">
        <v>48</v>
      </c>
      <c r="G779" t="s">
        <v>49</v>
      </c>
      <c r="H779" t="s">
        <v>50</v>
      </c>
      <c r="I779" t="s">
        <v>51</v>
      </c>
      <c r="J779">
        <v>3</v>
      </c>
      <c r="K779">
        <v>99.75</v>
      </c>
      <c r="L779" t="s">
        <v>7</v>
      </c>
      <c r="M779" t="s">
        <v>105</v>
      </c>
      <c r="N779">
        <f t="shared" si="12"/>
        <v>299.25</v>
      </c>
    </row>
    <row r="780" spans="1:14" x14ac:dyDescent="0.3">
      <c r="A780" t="s">
        <v>1092</v>
      </c>
      <c r="B780" s="4">
        <v>46250</v>
      </c>
      <c r="C780" t="s">
        <v>234</v>
      </c>
      <c r="D780" t="s">
        <v>235</v>
      </c>
      <c r="E780" t="s">
        <v>15</v>
      </c>
      <c r="F780" t="s">
        <v>90</v>
      </c>
      <c r="G780" t="s">
        <v>95</v>
      </c>
      <c r="H780" t="s">
        <v>96</v>
      </c>
      <c r="I780" t="s">
        <v>75</v>
      </c>
      <c r="J780">
        <v>1</v>
      </c>
      <c r="K780">
        <v>650</v>
      </c>
      <c r="L780" t="s">
        <v>17</v>
      </c>
      <c r="M780" t="s">
        <v>105</v>
      </c>
      <c r="N780">
        <f t="shared" si="12"/>
        <v>650</v>
      </c>
    </row>
    <row r="781" spans="1:14" x14ac:dyDescent="0.3">
      <c r="A781" t="s">
        <v>1093</v>
      </c>
      <c r="B781" s="4">
        <v>46192</v>
      </c>
      <c r="C781" t="s">
        <v>541</v>
      </c>
      <c r="D781" t="s">
        <v>211</v>
      </c>
      <c r="E781" t="s">
        <v>18</v>
      </c>
      <c r="F781" t="s">
        <v>48</v>
      </c>
      <c r="G781" t="s">
        <v>61</v>
      </c>
      <c r="H781" t="s">
        <v>62</v>
      </c>
      <c r="I781" t="s">
        <v>63</v>
      </c>
      <c r="J781">
        <v>1</v>
      </c>
      <c r="K781">
        <v>115.5</v>
      </c>
      <c r="L781" t="s">
        <v>4</v>
      </c>
      <c r="M781" t="s">
        <v>80</v>
      </c>
      <c r="N781">
        <f t="shared" si="12"/>
        <v>115.5</v>
      </c>
    </row>
    <row r="782" spans="1:14" x14ac:dyDescent="0.3">
      <c r="A782" t="s">
        <v>1094</v>
      </c>
      <c r="B782" s="4">
        <v>46164</v>
      </c>
      <c r="C782" t="s">
        <v>323</v>
      </c>
      <c r="D782" t="s">
        <v>324</v>
      </c>
      <c r="E782" t="s">
        <v>15</v>
      </c>
      <c r="F782" t="s">
        <v>72</v>
      </c>
      <c r="G782" t="s">
        <v>61</v>
      </c>
      <c r="H782" t="s">
        <v>62</v>
      </c>
      <c r="I782" t="s">
        <v>63</v>
      </c>
      <c r="J782">
        <v>10</v>
      </c>
      <c r="K782">
        <v>110</v>
      </c>
      <c r="L782" t="s">
        <v>7</v>
      </c>
      <c r="M782" t="s">
        <v>105</v>
      </c>
      <c r="N782">
        <f t="shared" si="12"/>
        <v>1100</v>
      </c>
    </row>
    <row r="783" spans="1:14" x14ac:dyDescent="0.3">
      <c r="A783" t="s">
        <v>1095</v>
      </c>
      <c r="B783" s="4">
        <v>46235</v>
      </c>
      <c r="C783" t="s">
        <v>270</v>
      </c>
      <c r="D783" t="s">
        <v>271</v>
      </c>
      <c r="E783" t="s">
        <v>18</v>
      </c>
      <c r="F783" t="s">
        <v>48</v>
      </c>
      <c r="G783" t="s">
        <v>95</v>
      </c>
      <c r="H783" t="s">
        <v>96</v>
      </c>
      <c r="I783" t="s">
        <v>75</v>
      </c>
      <c r="J783">
        <v>3</v>
      </c>
      <c r="K783">
        <v>682.5</v>
      </c>
      <c r="L783" t="s">
        <v>9</v>
      </c>
      <c r="M783" t="s">
        <v>52</v>
      </c>
      <c r="N783">
        <f t="shared" si="12"/>
        <v>2047.5</v>
      </c>
    </row>
    <row r="784" spans="1:14" x14ac:dyDescent="0.3">
      <c r="A784" t="s">
        <v>1096</v>
      </c>
      <c r="B784" s="4">
        <v>46214</v>
      </c>
      <c r="C784" t="s">
        <v>328</v>
      </c>
      <c r="D784" t="s">
        <v>329</v>
      </c>
      <c r="E784" t="s">
        <v>15</v>
      </c>
      <c r="F784" t="s">
        <v>48</v>
      </c>
      <c r="G784" t="s">
        <v>49</v>
      </c>
      <c r="H784" t="s">
        <v>50</v>
      </c>
      <c r="I784" t="s">
        <v>51</v>
      </c>
      <c r="J784">
        <v>1</v>
      </c>
      <c r="K784">
        <v>95</v>
      </c>
      <c r="L784" t="s">
        <v>4</v>
      </c>
      <c r="M784" t="s">
        <v>105</v>
      </c>
      <c r="N784">
        <f t="shared" si="12"/>
        <v>95</v>
      </c>
    </row>
    <row r="785" spans="1:14" x14ac:dyDescent="0.3">
      <c r="A785" t="s">
        <v>1097</v>
      </c>
      <c r="B785" s="4">
        <v>46096</v>
      </c>
      <c r="C785" t="s">
        <v>253</v>
      </c>
      <c r="D785" t="s">
        <v>254</v>
      </c>
      <c r="E785" t="s">
        <v>6</v>
      </c>
      <c r="F785" t="s">
        <v>72</v>
      </c>
      <c r="G785" t="s">
        <v>163</v>
      </c>
      <c r="H785" t="s">
        <v>164</v>
      </c>
      <c r="I785" t="s">
        <v>111</v>
      </c>
      <c r="J785">
        <v>3</v>
      </c>
      <c r="K785">
        <v>252</v>
      </c>
      <c r="L785" t="s">
        <v>9</v>
      </c>
      <c r="M785" t="s">
        <v>80</v>
      </c>
      <c r="N785">
        <f t="shared" si="12"/>
        <v>756</v>
      </c>
    </row>
    <row r="786" spans="1:14" x14ac:dyDescent="0.3">
      <c r="A786" t="s">
        <v>1098</v>
      </c>
      <c r="B786" s="4">
        <v>46080</v>
      </c>
      <c r="C786" t="s">
        <v>253</v>
      </c>
      <c r="D786" t="s">
        <v>254</v>
      </c>
      <c r="E786" t="s">
        <v>6</v>
      </c>
      <c r="F786" t="s">
        <v>72</v>
      </c>
      <c r="G786" t="s">
        <v>239</v>
      </c>
      <c r="H786" t="s">
        <v>240</v>
      </c>
      <c r="I786" t="s">
        <v>63</v>
      </c>
      <c r="J786">
        <v>1</v>
      </c>
      <c r="K786">
        <v>720</v>
      </c>
      <c r="L786" t="s">
        <v>14</v>
      </c>
      <c r="M786" t="s">
        <v>80</v>
      </c>
      <c r="N786">
        <f t="shared" si="12"/>
        <v>720</v>
      </c>
    </row>
    <row r="787" spans="1:14" x14ac:dyDescent="0.3">
      <c r="A787" t="s">
        <v>1099</v>
      </c>
      <c r="B787" s="4">
        <v>46154</v>
      </c>
      <c r="C787" t="s">
        <v>273</v>
      </c>
      <c r="D787" t="s">
        <v>274</v>
      </c>
      <c r="E787" t="s">
        <v>1</v>
      </c>
      <c r="F787" t="s">
        <v>72</v>
      </c>
      <c r="G787" t="s">
        <v>49</v>
      </c>
      <c r="H787" t="s">
        <v>50</v>
      </c>
      <c r="I787" t="s">
        <v>51</v>
      </c>
      <c r="J787">
        <v>2</v>
      </c>
      <c r="K787">
        <v>99.75</v>
      </c>
      <c r="L787" t="s">
        <v>9</v>
      </c>
      <c r="M787" t="s">
        <v>58</v>
      </c>
      <c r="N787">
        <f t="shared" si="12"/>
        <v>199.5</v>
      </c>
    </row>
    <row r="788" spans="1:14" x14ac:dyDescent="0.3">
      <c r="A788" t="s">
        <v>1100</v>
      </c>
      <c r="B788" s="4">
        <v>46115</v>
      </c>
      <c r="C788" t="s">
        <v>466</v>
      </c>
      <c r="D788" t="s">
        <v>147</v>
      </c>
      <c r="E788" t="s">
        <v>10</v>
      </c>
      <c r="F788" t="s">
        <v>48</v>
      </c>
      <c r="G788" t="s">
        <v>73</v>
      </c>
      <c r="H788" t="s">
        <v>74</v>
      </c>
      <c r="I788" t="s">
        <v>75</v>
      </c>
      <c r="J788">
        <v>1</v>
      </c>
      <c r="K788">
        <v>420</v>
      </c>
      <c r="L788" t="s">
        <v>7</v>
      </c>
      <c r="M788" t="s">
        <v>52</v>
      </c>
      <c r="N788">
        <f t="shared" si="12"/>
        <v>420</v>
      </c>
    </row>
    <row r="789" spans="1:14" x14ac:dyDescent="0.3">
      <c r="A789" t="s">
        <v>1101</v>
      </c>
      <c r="B789" s="4">
        <v>46231</v>
      </c>
      <c r="C789" t="s">
        <v>256</v>
      </c>
      <c r="D789" t="s">
        <v>199</v>
      </c>
      <c r="E789" t="s">
        <v>19</v>
      </c>
      <c r="F789" t="s">
        <v>72</v>
      </c>
      <c r="G789" t="s">
        <v>91</v>
      </c>
      <c r="H789" t="s">
        <v>13</v>
      </c>
      <c r="I789" t="s">
        <v>57</v>
      </c>
      <c r="J789">
        <v>1</v>
      </c>
      <c r="K789">
        <v>3255</v>
      </c>
      <c r="L789" t="s">
        <v>4</v>
      </c>
      <c r="M789" t="s">
        <v>52</v>
      </c>
      <c r="N789">
        <f t="shared" si="12"/>
        <v>3255</v>
      </c>
    </row>
    <row r="790" spans="1:14" x14ac:dyDescent="0.3">
      <c r="A790" t="s">
        <v>1102</v>
      </c>
      <c r="B790" s="4">
        <v>46209</v>
      </c>
      <c r="C790" t="s">
        <v>339</v>
      </c>
      <c r="D790" t="s">
        <v>340</v>
      </c>
      <c r="E790" t="s">
        <v>6</v>
      </c>
      <c r="F790" t="s">
        <v>90</v>
      </c>
      <c r="G790" t="s">
        <v>183</v>
      </c>
      <c r="H790" t="s">
        <v>184</v>
      </c>
      <c r="I790" t="s">
        <v>111</v>
      </c>
      <c r="J790">
        <v>1</v>
      </c>
      <c r="K790">
        <v>180</v>
      </c>
      <c r="L790" t="s">
        <v>9</v>
      </c>
      <c r="M790" t="s">
        <v>105</v>
      </c>
      <c r="N790">
        <f t="shared" si="12"/>
        <v>180</v>
      </c>
    </row>
    <row r="791" spans="1:14" x14ac:dyDescent="0.3">
      <c r="A791" t="s">
        <v>1103</v>
      </c>
      <c r="B791" s="4">
        <v>46176</v>
      </c>
      <c r="C791" t="s">
        <v>204</v>
      </c>
      <c r="D791" t="s">
        <v>71</v>
      </c>
      <c r="E791" t="s">
        <v>15</v>
      </c>
      <c r="F791" t="s">
        <v>90</v>
      </c>
      <c r="G791" t="s">
        <v>67</v>
      </c>
      <c r="H791" t="s">
        <v>8</v>
      </c>
      <c r="I791" t="s">
        <v>68</v>
      </c>
      <c r="J791">
        <v>3</v>
      </c>
      <c r="K791">
        <v>1377.5</v>
      </c>
      <c r="L791" t="s">
        <v>2</v>
      </c>
      <c r="M791" t="s">
        <v>105</v>
      </c>
      <c r="N791">
        <f t="shared" si="12"/>
        <v>4132.5</v>
      </c>
    </row>
    <row r="792" spans="1:14" x14ac:dyDescent="0.3">
      <c r="A792" t="s">
        <v>1104</v>
      </c>
      <c r="B792" s="4">
        <v>46259</v>
      </c>
      <c r="C792" t="s">
        <v>319</v>
      </c>
      <c r="D792" t="s">
        <v>320</v>
      </c>
      <c r="E792" t="s">
        <v>1</v>
      </c>
      <c r="F792" t="s">
        <v>48</v>
      </c>
      <c r="G792" t="s">
        <v>163</v>
      </c>
      <c r="H792" t="s">
        <v>164</v>
      </c>
      <c r="I792" t="s">
        <v>111</v>
      </c>
      <c r="J792">
        <v>4</v>
      </c>
      <c r="K792">
        <v>240</v>
      </c>
      <c r="L792" t="s">
        <v>4</v>
      </c>
      <c r="M792" t="s">
        <v>105</v>
      </c>
      <c r="N792">
        <f t="shared" si="12"/>
        <v>960</v>
      </c>
    </row>
    <row r="793" spans="1:14" x14ac:dyDescent="0.3">
      <c r="A793" t="s">
        <v>1105</v>
      </c>
      <c r="B793" s="4">
        <v>46246</v>
      </c>
      <c r="C793" t="s">
        <v>483</v>
      </c>
      <c r="D793" t="s">
        <v>484</v>
      </c>
      <c r="E793" t="s">
        <v>15</v>
      </c>
      <c r="F793" t="s">
        <v>72</v>
      </c>
      <c r="G793" t="s">
        <v>67</v>
      </c>
      <c r="H793" t="s">
        <v>8</v>
      </c>
      <c r="I793" t="s">
        <v>68</v>
      </c>
      <c r="J793">
        <v>4</v>
      </c>
      <c r="K793">
        <v>1522.5</v>
      </c>
      <c r="L793" t="s">
        <v>14</v>
      </c>
      <c r="M793" t="s">
        <v>105</v>
      </c>
      <c r="N793">
        <f t="shared" si="12"/>
        <v>6090</v>
      </c>
    </row>
    <row r="794" spans="1:14" x14ac:dyDescent="0.3">
      <c r="A794" t="s">
        <v>1106</v>
      </c>
      <c r="B794" s="4">
        <v>46158</v>
      </c>
      <c r="C794" t="s">
        <v>463</v>
      </c>
      <c r="D794" t="s">
        <v>264</v>
      </c>
      <c r="E794" t="s">
        <v>6</v>
      </c>
      <c r="F794" t="s">
        <v>90</v>
      </c>
      <c r="G794" t="s">
        <v>239</v>
      </c>
      <c r="H794" t="s">
        <v>240</v>
      </c>
      <c r="I794" t="s">
        <v>63</v>
      </c>
      <c r="J794">
        <v>1</v>
      </c>
      <c r="K794">
        <v>756</v>
      </c>
      <c r="L794" t="s">
        <v>17</v>
      </c>
      <c r="M794" t="s">
        <v>52</v>
      </c>
      <c r="N794">
        <f t="shared" si="12"/>
        <v>756</v>
      </c>
    </row>
    <row r="795" spans="1:14" x14ac:dyDescent="0.3">
      <c r="A795" t="s">
        <v>1107</v>
      </c>
      <c r="B795" s="4">
        <v>46202</v>
      </c>
      <c r="C795" t="s">
        <v>107</v>
      </c>
      <c r="D795" t="s">
        <v>108</v>
      </c>
      <c r="E795" t="s">
        <v>1</v>
      </c>
      <c r="F795" t="s">
        <v>72</v>
      </c>
      <c r="G795" t="s">
        <v>84</v>
      </c>
      <c r="H795" t="s">
        <v>85</v>
      </c>
      <c r="I795" t="s">
        <v>51</v>
      </c>
      <c r="J795">
        <v>1</v>
      </c>
      <c r="K795">
        <v>722</v>
      </c>
      <c r="L795" t="s">
        <v>2</v>
      </c>
      <c r="M795" t="s">
        <v>105</v>
      </c>
      <c r="N795">
        <f t="shared" si="12"/>
        <v>722</v>
      </c>
    </row>
    <row r="796" spans="1:14" x14ac:dyDescent="0.3">
      <c r="A796" t="s">
        <v>1108</v>
      </c>
      <c r="B796" s="4">
        <v>46047</v>
      </c>
      <c r="C796" t="s">
        <v>380</v>
      </c>
      <c r="D796" t="s">
        <v>381</v>
      </c>
      <c r="E796" t="s">
        <v>18</v>
      </c>
      <c r="F796" t="s">
        <v>72</v>
      </c>
      <c r="G796" t="s">
        <v>84</v>
      </c>
      <c r="H796" t="s">
        <v>85</v>
      </c>
      <c r="I796" t="s">
        <v>51</v>
      </c>
      <c r="J796">
        <v>1</v>
      </c>
      <c r="K796">
        <v>760</v>
      </c>
      <c r="L796" t="s">
        <v>4</v>
      </c>
      <c r="M796" t="s">
        <v>52</v>
      </c>
      <c r="N796">
        <f t="shared" si="12"/>
        <v>760</v>
      </c>
    </row>
    <row r="797" spans="1:14" x14ac:dyDescent="0.3">
      <c r="A797" t="s">
        <v>1109</v>
      </c>
      <c r="B797" s="4">
        <v>46045</v>
      </c>
      <c r="C797" t="s">
        <v>373</v>
      </c>
      <c r="D797" t="s">
        <v>264</v>
      </c>
      <c r="E797" t="s">
        <v>15</v>
      </c>
      <c r="F797" t="s">
        <v>48</v>
      </c>
      <c r="G797" t="s">
        <v>61</v>
      </c>
      <c r="H797" t="s">
        <v>62</v>
      </c>
      <c r="I797" t="s">
        <v>63</v>
      </c>
      <c r="J797">
        <v>2</v>
      </c>
      <c r="K797">
        <v>104.5</v>
      </c>
      <c r="L797" t="s">
        <v>17</v>
      </c>
      <c r="M797" t="s">
        <v>105</v>
      </c>
      <c r="N797">
        <f t="shared" si="12"/>
        <v>209</v>
      </c>
    </row>
    <row r="798" spans="1:14" x14ac:dyDescent="0.3">
      <c r="A798" t="s">
        <v>1110</v>
      </c>
      <c r="B798" s="4">
        <v>46126</v>
      </c>
      <c r="C798" t="s">
        <v>250</v>
      </c>
      <c r="D798" t="s">
        <v>251</v>
      </c>
      <c r="E798" t="s">
        <v>1</v>
      </c>
      <c r="F798" t="s">
        <v>48</v>
      </c>
      <c r="G798" t="s">
        <v>183</v>
      </c>
      <c r="H798" t="s">
        <v>184</v>
      </c>
      <c r="I798" t="s">
        <v>111</v>
      </c>
      <c r="J798">
        <v>2</v>
      </c>
      <c r="K798">
        <v>180</v>
      </c>
      <c r="L798" t="s">
        <v>9</v>
      </c>
      <c r="M798" t="s">
        <v>105</v>
      </c>
      <c r="N798">
        <f t="shared" si="12"/>
        <v>360</v>
      </c>
    </row>
    <row r="799" spans="1:14" x14ac:dyDescent="0.3">
      <c r="A799" t="s">
        <v>1111</v>
      </c>
      <c r="B799" s="4">
        <v>46148</v>
      </c>
      <c r="C799" t="s">
        <v>538</v>
      </c>
      <c r="D799" t="s">
        <v>539</v>
      </c>
      <c r="E799" t="s">
        <v>15</v>
      </c>
      <c r="F799" t="s">
        <v>48</v>
      </c>
      <c r="G799" t="s">
        <v>79</v>
      </c>
      <c r="H799" t="s">
        <v>11</v>
      </c>
      <c r="I799" t="s">
        <v>57</v>
      </c>
      <c r="J799">
        <v>2</v>
      </c>
      <c r="K799">
        <v>5460</v>
      </c>
      <c r="L799" t="s">
        <v>9</v>
      </c>
      <c r="M799" t="s">
        <v>52</v>
      </c>
      <c r="N799">
        <f t="shared" si="12"/>
        <v>10920</v>
      </c>
    </row>
    <row r="800" spans="1:14" x14ac:dyDescent="0.3">
      <c r="A800" t="s">
        <v>1112</v>
      </c>
      <c r="B800" s="4">
        <v>46092</v>
      </c>
      <c r="C800" t="s">
        <v>244</v>
      </c>
      <c r="D800" t="s">
        <v>245</v>
      </c>
      <c r="E800" t="s">
        <v>18</v>
      </c>
      <c r="F800" t="s">
        <v>90</v>
      </c>
      <c r="G800" t="s">
        <v>183</v>
      </c>
      <c r="H800" t="s">
        <v>184</v>
      </c>
      <c r="I800" t="s">
        <v>111</v>
      </c>
      <c r="J800">
        <v>4</v>
      </c>
      <c r="K800">
        <v>180</v>
      </c>
      <c r="L800" t="s">
        <v>2</v>
      </c>
      <c r="M800" t="s">
        <v>58</v>
      </c>
      <c r="N800">
        <f t="shared" si="12"/>
        <v>720</v>
      </c>
    </row>
    <row r="801" spans="1:14" x14ac:dyDescent="0.3">
      <c r="A801" t="s">
        <v>1113</v>
      </c>
      <c r="B801" s="4">
        <v>46132</v>
      </c>
      <c r="C801" t="s">
        <v>89</v>
      </c>
      <c r="D801" t="s">
        <v>12</v>
      </c>
      <c r="E801" t="s">
        <v>1</v>
      </c>
      <c r="F801" t="s">
        <v>90</v>
      </c>
      <c r="G801" t="s">
        <v>95</v>
      </c>
      <c r="H801" t="s">
        <v>96</v>
      </c>
      <c r="I801" t="s">
        <v>75</v>
      </c>
      <c r="J801">
        <v>2</v>
      </c>
      <c r="K801">
        <v>650</v>
      </c>
      <c r="L801" t="s">
        <v>7</v>
      </c>
      <c r="M801" t="s">
        <v>80</v>
      </c>
      <c r="N801">
        <f t="shared" si="12"/>
        <v>1300</v>
      </c>
    </row>
    <row r="802" spans="1:14" x14ac:dyDescent="0.3">
      <c r="A802" t="s">
        <v>1114</v>
      </c>
      <c r="B802" s="4">
        <v>46221</v>
      </c>
      <c r="C802" t="s">
        <v>93</v>
      </c>
      <c r="D802" t="s">
        <v>94</v>
      </c>
      <c r="E802" t="s">
        <v>15</v>
      </c>
      <c r="F802" t="s">
        <v>48</v>
      </c>
      <c r="G802" t="s">
        <v>136</v>
      </c>
      <c r="H802" t="s">
        <v>137</v>
      </c>
      <c r="I802" t="s">
        <v>111</v>
      </c>
      <c r="J802">
        <v>1</v>
      </c>
      <c r="K802">
        <v>85</v>
      </c>
      <c r="L802" t="s">
        <v>17</v>
      </c>
      <c r="M802" t="s">
        <v>105</v>
      </c>
      <c r="N802">
        <f t="shared" si="12"/>
        <v>85</v>
      </c>
    </row>
    <row r="803" spans="1:14" x14ac:dyDescent="0.3">
      <c r="A803" t="s">
        <v>1115</v>
      </c>
      <c r="B803" s="4">
        <v>46136</v>
      </c>
      <c r="C803" t="s">
        <v>950</v>
      </c>
      <c r="D803" t="s">
        <v>951</v>
      </c>
      <c r="E803" t="s">
        <v>15</v>
      </c>
      <c r="F803" t="s">
        <v>72</v>
      </c>
      <c r="G803" t="s">
        <v>208</v>
      </c>
      <c r="H803" t="s">
        <v>22</v>
      </c>
      <c r="I803" t="s">
        <v>68</v>
      </c>
      <c r="J803">
        <v>1</v>
      </c>
      <c r="K803">
        <v>2200</v>
      </c>
      <c r="L803" t="s">
        <v>9</v>
      </c>
      <c r="M803" t="s">
        <v>80</v>
      </c>
      <c r="N803">
        <f t="shared" si="12"/>
        <v>2200</v>
      </c>
    </row>
    <row r="804" spans="1:14" x14ac:dyDescent="0.3">
      <c r="A804" t="s">
        <v>1116</v>
      </c>
      <c r="B804" s="4">
        <v>46052</v>
      </c>
      <c r="C804" t="s">
        <v>451</v>
      </c>
      <c r="D804" t="s">
        <v>452</v>
      </c>
      <c r="E804" t="s">
        <v>6</v>
      </c>
      <c r="F804" t="s">
        <v>72</v>
      </c>
      <c r="G804" t="s">
        <v>183</v>
      </c>
      <c r="H804" t="s">
        <v>184</v>
      </c>
      <c r="I804" t="s">
        <v>111</v>
      </c>
      <c r="J804">
        <v>3</v>
      </c>
      <c r="K804">
        <v>180</v>
      </c>
      <c r="L804" t="s">
        <v>17</v>
      </c>
      <c r="M804" t="s">
        <v>52</v>
      </c>
      <c r="N804">
        <f t="shared" si="12"/>
        <v>540</v>
      </c>
    </row>
    <row r="805" spans="1:14" x14ac:dyDescent="0.3">
      <c r="A805" t="s">
        <v>1117</v>
      </c>
      <c r="B805" s="4">
        <v>46027</v>
      </c>
      <c r="C805" t="s">
        <v>303</v>
      </c>
      <c r="D805" t="s">
        <v>115</v>
      </c>
      <c r="E805" t="s">
        <v>1</v>
      </c>
      <c r="F805" t="s">
        <v>48</v>
      </c>
      <c r="G805" t="s">
        <v>239</v>
      </c>
      <c r="H805" t="s">
        <v>240</v>
      </c>
      <c r="I805" t="s">
        <v>63</v>
      </c>
      <c r="J805">
        <v>2</v>
      </c>
      <c r="K805">
        <v>684</v>
      </c>
      <c r="L805" t="s">
        <v>7</v>
      </c>
      <c r="M805" t="s">
        <v>105</v>
      </c>
      <c r="N805">
        <f t="shared" si="12"/>
        <v>1368</v>
      </c>
    </row>
    <row r="806" spans="1:14" x14ac:dyDescent="0.3">
      <c r="A806" t="s">
        <v>1118</v>
      </c>
      <c r="B806" s="4">
        <v>46108</v>
      </c>
      <c r="C806" t="s">
        <v>741</v>
      </c>
      <c r="D806" t="s">
        <v>159</v>
      </c>
      <c r="E806" t="s">
        <v>10</v>
      </c>
      <c r="F806" t="s">
        <v>48</v>
      </c>
      <c r="G806" t="s">
        <v>136</v>
      </c>
      <c r="H806" t="s">
        <v>137</v>
      </c>
      <c r="I806" t="s">
        <v>111</v>
      </c>
      <c r="J806">
        <v>1</v>
      </c>
      <c r="K806">
        <v>89.25</v>
      </c>
      <c r="L806" t="s">
        <v>9</v>
      </c>
      <c r="M806" t="s">
        <v>52</v>
      </c>
      <c r="N806">
        <f t="shared" si="12"/>
        <v>89.25</v>
      </c>
    </row>
    <row r="807" spans="1:14" x14ac:dyDescent="0.3">
      <c r="A807" t="s">
        <v>1119</v>
      </c>
      <c r="B807" s="4">
        <v>46216</v>
      </c>
      <c r="C807" t="s">
        <v>364</v>
      </c>
      <c r="D807" t="s">
        <v>365</v>
      </c>
      <c r="E807" t="s">
        <v>6</v>
      </c>
      <c r="F807" t="s">
        <v>90</v>
      </c>
      <c r="G807" t="s">
        <v>84</v>
      </c>
      <c r="H807" t="s">
        <v>85</v>
      </c>
      <c r="I807" t="s">
        <v>51</v>
      </c>
      <c r="J807">
        <v>1</v>
      </c>
      <c r="K807">
        <v>760</v>
      </c>
      <c r="L807" t="s">
        <v>17</v>
      </c>
      <c r="M807" t="s">
        <v>52</v>
      </c>
      <c r="N807">
        <f t="shared" si="12"/>
        <v>760</v>
      </c>
    </row>
    <row r="808" spans="1:14" x14ac:dyDescent="0.3">
      <c r="A808" t="s">
        <v>1120</v>
      </c>
      <c r="B808" s="4">
        <v>46120</v>
      </c>
      <c r="C808" t="s">
        <v>873</v>
      </c>
      <c r="D808" t="s">
        <v>5</v>
      </c>
      <c r="E808" t="s">
        <v>15</v>
      </c>
      <c r="F808" t="s">
        <v>90</v>
      </c>
      <c r="G808" t="s">
        <v>136</v>
      </c>
      <c r="H808" t="s">
        <v>137</v>
      </c>
      <c r="I808" t="s">
        <v>111</v>
      </c>
      <c r="J808">
        <v>2</v>
      </c>
      <c r="K808">
        <v>89.25</v>
      </c>
      <c r="L808" t="s">
        <v>14</v>
      </c>
      <c r="M808" t="s">
        <v>80</v>
      </c>
      <c r="N808">
        <f t="shared" si="12"/>
        <v>178.5</v>
      </c>
    </row>
    <row r="809" spans="1:14" x14ac:dyDescent="0.3">
      <c r="A809" t="s">
        <v>1121</v>
      </c>
      <c r="B809" s="4">
        <v>46096</v>
      </c>
      <c r="C809" t="s">
        <v>585</v>
      </c>
      <c r="D809" t="s">
        <v>182</v>
      </c>
      <c r="E809" t="s">
        <v>6</v>
      </c>
      <c r="F809" t="s">
        <v>90</v>
      </c>
      <c r="G809" t="s">
        <v>163</v>
      </c>
      <c r="H809" t="s">
        <v>164</v>
      </c>
      <c r="I809" t="s">
        <v>111</v>
      </c>
      <c r="J809">
        <v>1</v>
      </c>
      <c r="K809">
        <v>252</v>
      </c>
      <c r="L809" t="s">
        <v>7</v>
      </c>
      <c r="M809" t="s">
        <v>58</v>
      </c>
      <c r="N809">
        <f t="shared" si="12"/>
        <v>252</v>
      </c>
    </row>
    <row r="810" spans="1:14" x14ac:dyDescent="0.3">
      <c r="A810" t="s">
        <v>1122</v>
      </c>
      <c r="B810" s="4">
        <v>46041</v>
      </c>
      <c r="C810" t="s">
        <v>288</v>
      </c>
      <c r="D810" t="s">
        <v>289</v>
      </c>
      <c r="E810" t="s">
        <v>18</v>
      </c>
      <c r="F810" t="s">
        <v>90</v>
      </c>
      <c r="G810" t="s">
        <v>136</v>
      </c>
      <c r="H810" t="s">
        <v>137</v>
      </c>
      <c r="I810" t="s">
        <v>111</v>
      </c>
      <c r="J810">
        <v>2</v>
      </c>
      <c r="K810">
        <v>85</v>
      </c>
      <c r="L810" t="s">
        <v>2</v>
      </c>
      <c r="M810" t="s">
        <v>80</v>
      </c>
      <c r="N810">
        <f t="shared" si="12"/>
        <v>170</v>
      </c>
    </row>
    <row r="811" spans="1:14" x14ac:dyDescent="0.3">
      <c r="A811" t="s">
        <v>1123</v>
      </c>
      <c r="B811" s="4">
        <v>46028</v>
      </c>
      <c r="C811" t="s">
        <v>295</v>
      </c>
      <c r="D811" t="s">
        <v>296</v>
      </c>
      <c r="E811" t="s">
        <v>19</v>
      </c>
      <c r="F811" t="s">
        <v>72</v>
      </c>
      <c r="G811" t="s">
        <v>67</v>
      </c>
      <c r="H811" t="s">
        <v>8</v>
      </c>
      <c r="I811" t="s">
        <v>68</v>
      </c>
      <c r="J811">
        <v>1</v>
      </c>
      <c r="K811">
        <v>1450</v>
      </c>
      <c r="L811" t="s">
        <v>9</v>
      </c>
      <c r="M811" t="s">
        <v>105</v>
      </c>
      <c r="N811">
        <f t="shared" si="12"/>
        <v>1450</v>
      </c>
    </row>
    <row r="812" spans="1:14" x14ac:dyDescent="0.3">
      <c r="A812" t="s">
        <v>1124</v>
      </c>
      <c r="B812" s="4">
        <v>46255</v>
      </c>
      <c r="C812" t="s">
        <v>291</v>
      </c>
      <c r="D812" t="s">
        <v>219</v>
      </c>
      <c r="E812" t="s">
        <v>19</v>
      </c>
      <c r="F812" t="s">
        <v>48</v>
      </c>
      <c r="G812" t="s">
        <v>67</v>
      </c>
      <c r="H812" t="s">
        <v>8</v>
      </c>
      <c r="I812" t="s">
        <v>68</v>
      </c>
      <c r="J812">
        <v>1</v>
      </c>
      <c r="K812">
        <v>1522.5</v>
      </c>
      <c r="L812" t="s">
        <v>17</v>
      </c>
      <c r="M812" t="s">
        <v>58</v>
      </c>
      <c r="N812">
        <f t="shared" si="12"/>
        <v>1522.5</v>
      </c>
    </row>
    <row r="813" spans="1:14" x14ac:dyDescent="0.3">
      <c r="A813" t="s">
        <v>1125</v>
      </c>
      <c r="B813" s="4">
        <v>46152</v>
      </c>
      <c r="C813" t="s">
        <v>573</v>
      </c>
      <c r="D813" t="s">
        <v>20</v>
      </c>
      <c r="E813" t="s">
        <v>10</v>
      </c>
      <c r="F813" t="s">
        <v>48</v>
      </c>
      <c r="G813" t="s">
        <v>79</v>
      </c>
      <c r="H813" t="s">
        <v>11</v>
      </c>
      <c r="I813" t="s">
        <v>57</v>
      </c>
      <c r="J813">
        <v>8</v>
      </c>
      <c r="K813">
        <v>5460</v>
      </c>
      <c r="L813" t="s">
        <v>2</v>
      </c>
      <c r="M813" t="s">
        <v>58</v>
      </c>
      <c r="N813">
        <f t="shared" si="12"/>
        <v>43680</v>
      </c>
    </row>
    <row r="814" spans="1:14" x14ac:dyDescent="0.3">
      <c r="A814" t="s">
        <v>1126</v>
      </c>
      <c r="B814" s="4">
        <v>46159</v>
      </c>
      <c r="C814" t="s">
        <v>129</v>
      </c>
      <c r="D814" t="s">
        <v>130</v>
      </c>
      <c r="E814" t="s">
        <v>15</v>
      </c>
      <c r="F814" t="s">
        <v>90</v>
      </c>
      <c r="G814" t="s">
        <v>56</v>
      </c>
      <c r="H814" t="s">
        <v>3</v>
      </c>
      <c r="I814" t="s">
        <v>57</v>
      </c>
      <c r="J814">
        <v>1</v>
      </c>
      <c r="K814">
        <v>8200</v>
      </c>
      <c r="L814" t="s">
        <v>4</v>
      </c>
      <c r="M814" t="s">
        <v>52</v>
      </c>
      <c r="N814">
        <f t="shared" si="12"/>
        <v>8200</v>
      </c>
    </row>
    <row r="815" spans="1:14" x14ac:dyDescent="0.3">
      <c r="A815" t="s">
        <v>1127</v>
      </c>
      <c r="B815" s="4">
        <v>46199</v>
      </c>
      <c r="C815" t="s">
        <v>375</v>
      </c>
      <c r="D815" t="s">
        <v>156</v>
      </c>
      <c r="E815" t="s">
        <v>6</v>
      </c>
      <c r="F815" t="s">
        <v>90</v>
      </c>
      <c r="G815" t="s">
        <v>201</v>
      </c>
      <c r="H815" t="s">
        <v>202</v>
      </c>
      <c r="I815" t="s">
        <v>63</v>
      </c>
      <c r="J815">
        <v>2</v>
      </c>
      <c r="K815">
        <v>480</v>
      </c>
      <c r="L815" t="s">
        <v>9</v>
      </c>
      <c r="M815" t="s">
        <v>80</v>
      </c>
      <c r="N815">
        <f t="shared" si="12"/>
        <v>960</v>
      </c>
    </row>
    <row r="816" spans="1:14" x14ac:dyDescent="0.3">
      <c r="A816" t="s">
        <v>1128</v>
      </c>
      <c r="B816" s="4">
        <v>46184</v>
      </c>
      <c r="C816" t="s">
        <v>438</v>
      </c>
      <c r="D816" t="s">
        <v>439</v>
      </c>
      <c r="E816" t="s">
        <v>18</v>
      </c>
      <c r="F816" t="s">
        <v>72</v>
      </c>
      <c r="G816" t="s">
        <v>163</v>
      </c>
      <c r="H816" t="s">
        <v>164</v>
      </c>
      <c r="I816" t="s">
        <v>111</v>
      </c>
      <c r="J816">
        <v>1</v>
      </c>
      <c r="K816">
        <v>240</v>
      </c>
      <c r="L816" t="s">
        <v>14</v>
      </c>
      <c r="M816" t="s">
        <v>80</v>
      </c>
      <c r="N816">
        <f t="shared" si="12"/>
        <v>240</v>
      </c>
    </row>
    <row r="817" spans="1:14" x14ac:dyDescent="0.3">
      <c r="A817" t="s">
        <v>1129</v>
      </c>
      <c r="B817" s="4">
        <v>46111</v>
      </c>
      <c r="C817" t="s">
        <v>186</v>
      </c>
      <c r="D817" t="s">
        <v>187</v>
      </c>
      <c r="E817" t="s">
        <v>6</v>
      </c>
      <c r="F817" t="s">
        <v>72</v>
      </c>
      <c r="G817" t="s">
        <v>208</v>
      </c>
      <c r="H817" t="s">
        <v>22</v>
      </c>
      <c r="I817" t="s">
        <v>68</v>
      </c>
      <c r="J817">
        <v>5</v>
      </c>
      <c r="K817">
        <v>2200</v>
      </c>
      <c r="L817" t="s">
        <v>14</v>
      </c>
      <c r="M817" t="s">
        <v>105</v>
      </c>
      <c r="N817">
        <f t="shared" si="12"/>
        <v>11000</v>
      </c>
    </row>
    <row r="818" spans="1:14" x14ac:dyDescent="0.3">
      <c r="A818" t="s">
        <v>1130</v>
      </c>
      <c r="B818" s="4">
        <v>46130</v>
      </c>
      <c r="C818" t="s">
        <v>841</v>
      </c>
      <c r="D818" t="s">
        <v>842</v>
      </c>
      <c r="E818" t="s">
        <v>19</v>
      </c>
      <c r="F818" t="s">
        <v>48</v>
      </c>
      <c r="G818" t="s">
        <v>56</v>
      </c>
      <c r="H818" t="s">
        <v>3</v>
      </c>
      <c r="I818" t="s">
        <v>57</v>
      </c>
      <c r="J818">
        <v>1</v>
      </c>
      <c r="K818">
        <v>8200</v>
      </c>
      <c r="L818" t="s">
        <v>4</v>
      </c>
      <c r="M818" t="s">
        <v>80</v>
      </c>
      <c r="N818">
        <f t="shared" si="12"/>
        <v>8200</v>
      </c>
    </row>
    <row r="819" spans="1:14" x14ac:dyDescent="0.3">
      <c r="A819" t="s">
        <v>1131</v>
      </c>
      <c r="B819" s="4">
        <v>46138</v>
      </c>
      <c r="C819" t="s">
        <v>174</v>
      </c>
      <c r="D819" t="s">
        <v>175</v>
      </c>
      <c r="E819" t="s">
        <v>10</v>
      </c>
      <c r="F819" t="s">
        <v>72</v>
      </c>
      <c r="G819" t="s">
        <v>61</v>
      </c>
      <c r="H819" t="s">
        <v>62</v>
      </c>
      <c r="I819" t="s">
        <v>63</v>
      </c>
      <c r="J819">
        <v>2</v>
      </c>
      <c r="K819">
        <v>110</v>
      </c>
      <c r="L819" t="s">
        <v>2</v>
      </c>
      <c r="M819" t="s">
        <v>52</v>
      </c>
      <c r="N819">
        <f t="shared" si="12"/>
        <v>220</v>
      </c>
    </row>
    <row r="820" spans="1:14" x14ac:dyDescent="0.3">
      <c r="A820" t="s">
        <v>1132</v>
      </c>
      <c r="B820" s="4">
        <v>46199</v>
      </c>
      <c r="C820" t="s">
        <v>591</v>
      </c>
      <c r="D820" t="s">
        <v>592</v>
      </c>
      <c r="E820" t="s">
        <v>15</v>
      </c>
      <c r="F820" t="s">
        <v>72</v>
      </c>
      <c r="G820" t="s">
        <v>49</v>
      </c>
      <c r="H820" t="s">
        <v>50</v>
      </c>
      <c r="I820" t="s">
        <v>51</v>
      </c>
      <c r="J820">
        <v>4</v>
      </c>
      <c r="K820">
        <v>95</v>
      </c>
      <c r="L820" t="s">
        <v>7</v>
      </c>
      <c r="M820" t="s">
        <v>52</v>
      </c>
      <c r="N820">
        <f t="shared" si="12"/>
        <v>380</v>
      </c>
    </row>
    <row r="821" spans="1:14" x14ac:dyDescent="0.3">
      <c r="A821" t="s">
        <v>1133</v>
      </c>
      <c r="B821" s="4">
        <v>46191</v>
      </c>
      <c r="C821" t="s">
        <v>390</v>
      </c>
      <c r="D821" t="s">
        <v>1134</v>
      </c>
      <c r="E821" t="s">
        <v>18</v>
      </c>
      <c r="F821" t="s">
        <v>90</v>
      </c>
      <c r="G821" t="s">
        <v>208</v>
      </c>
      <c r="H821" t="s">
        <v>22</v>
      </c>
      <c r="I821" t="s">
        <v>68</v>
      </c>
      <c r="J821">
        <v>6</v>
      </c>
      <c r="K821">
        <v>2200</v>
      </c>
      <c r="L821" t="s">
        <v>7</v>
      </c>
      <c r="M821" t="s">
        <v>58</v>
      </c>
      <c r="N821">
        <f t="shared" si="12"/>
        <v>13200</v>
      </c>
    </row>
    <row r="822" spans="1:14" x14ac:dyDescent="0.3">
      <c r="A822" t="s">
        <v>1135</v>
      </c>
      <c r="B822" s="4">
        <v>46208</v>
      </c>
      <c r="C822" t="s">
        <v>538</v>
      </c>
      <c r="D822" t="s">
        <v>539</v>
      </c>
      <c r="E822" t="s">
        <v>15</v>
      </c>
      <c r="F822" t="s">
        <v>48</v>
      </c>
      <c r="G822" t="s">
        <v>49</v>
      </c>
      <c r="H822" t="s">
        <v>50</v>
      </c>
      <c r="I822" t="s">
        <v>51</v>
      </c>
      <c r="J822">
        <v>1</v>
      </c>
      <c r="K822">
        <v>95</v>
      </c>
      <c r="L822" t="s">
        <v>9</v>
      </c>
      <c r="M822" t="s">
        <v>58</v>
      </c>
      <c r="N822">
        <f t="shared" si="12"/>
        <v>95</v>
      </c>
    </row>
    <row r="823" spans="1:14" x14ac:dyDescent="0.3">
      <c r="A823" t="s">
        <v>1136</v>
      </c>
      <c r="B823" s="4">
        <v>46249</v>
      </c>
      <c r="C823" t="s">
        <v>270</v>
      </c>
      <c r="D823" t="s">
        <v>271</v>
      </c>
      <c r="E823" t="s">
        <v>18</v>
      </c>
      <c r="F823" t="s">
        <v>48</v>
      </c>
      <c r="G823" t="s">
        <v>61</v>
      </c>
      <c r="H823" t="s">
        <v>62</v>
      </c>
      <c r="I823" t="s">
        <v>63</v>
      </c>
      <c r="J823">
        <v>8</v>
      </c>
      <c r="K823">
        <v>110</v>
      </c>
      <c r="L823" t="s">
        <v>7</v>
      </c>
      <c r="M823" t="s">
        <v>105</v>
      </c>
      <c r="N823">
        <f t="shared" si="12"/>
        <v>880</v>
      </c>
    </row>
    <row r="824" spans="1:14" x14ac:dyDescent="0.3">
      <c r="A824" t="s">
        <v>1137</v>
      </c>
      <c r="B824" s="4">
        <v>46062</v>
      </c>
      <c r="C824" t="s">
        <v>377</v>
      </c>
      <c r="D824" t="s">
        <v>378</v>
      </c>
      <c r="E824" t="s">
        <v>6</v>
      </c>
      <c r="F824" t="s">
        <v>72</v>
      </c>
      <c r="G824" t="s">
        <v>91</v>
      </c>
      <c r="H824" t="s">
        <v>13</v>
      </c>
      <c r="I824" t="s">
        <v>57</v>
      </c>
      <c r="J824">
        <v>4</v>
      </c>
      <c r="K824">
        <v>2945</v>
      </c>
      <c r="L824" t="s">
        <v>9</v>
      </c>
      <c r="M824" t="s">
        <v>52</v>
      </c>
      <c r="N824">
        <f t="shared" si="12"/>
        <v>11780</v>
      </c>
    </row>
    <row r="825" spans="1:14" x14ac:dyDescent="0.3">
      <c r="A825" t="s">
        <v>1138</v>
      </c>
      <c r="B825" s="4">
        <v>46179</v>
      </c>
      <c r="C825" t="s">
        <v>496</v>
      </c>
      <c r="D825" t="s">
        <v>5</v>
      </c>
      <c r="E825" t="s">
        <v>19</v>
      </c>
      <c r="F825" t="s">
        <v>48</v>
      </c>
      <c r="G825" t="s">
        <v>91</v>
      </c>
      <c r="H825" t="s">
        <v>13</v>
      </c>
      <c r="I825" t="s">
        <v>57</v>
      </c>
      <c r="J825">
        <v>2</v>
      </c>
      <c r="K825">
        <v>3100</v>
      </c>
      <c r="L825" t="s">
        <v>17</v>
      </c>
      <c r="M825" t="s">
        <v>52</v>
      </c>
      <c r="N825">
        <f t="shared" si="12"/>
        <v>6200</v>
      </c>
    </row>
    <row r="826" spans="1:14" x14ac:dyDescent="0.3">
      <c r="A826" t="s">
        <v>1139</v>
      </c>
      <c r="B826" s="4">
        <v>46115</v>
      </c>
      <c r="C826" t="s">
        <v>256</v>
      </c>
      <c r="D826" t="s">
        <v>199</v>
      </c>
      <c r="E826" t="s">
        <v>19</v>
      </c>
      <c r="F826" t="s">
        <v>72</v>
      </c>
      <c r="G826" t="s">
        <v>136</v>
      </c>
      <c r="H826" t="s">
        <v>137</v>
      </c>
      <c r="I826" t="s">
        <v>111</v>
      </c>
      <c r="J826">
        <v>1</v>
      </c>
      <c r="K826">
        <v>85</v>
      </c>
      <c r="L826" t="s">
        <v>9</v>
      </c>
      <c r="M826" t="s">
        <v>105</v>
      </c>
      <c r="N826">
        <f t="shared" si="12"/>
        <v>85</v>
      </c>
    </row>
    <row r="827" spans="1:14" x14ac:dyDescent="0.3">
      <c r="A827" t="s">
        <v>1140</v>
      </c>
      <c r="B827" s="4">
        <v>46071</v>
      </c>
      <c r="C827" t="s">
        <v>474</v>
      </c>
      <c r="D827" t="s">
        <v>417</v>
      </c>
      <c r="E827" t="s">
        <v>19</v>
      </c>
      <c r="F827" t="s">
        <v>90</v>
      </c>
      <c r="G827" t="s">
        <v>201</v>
      </c>
      <c r="H827" t="s">
        <v>202</v>
      </c>
      <c r="I827" t="s">
        <v>63</v>
      </c>
      <c r="J827">
        <v>5</v>
      </c>
      <c r="K827">
        <v>480</v>
      </c>
      <c r="L827" t="s">
        <v>4</v>
      </c>
      <c r="M827" t="s">
        <v>52</v>
      </c>
      <c r="N827">
        <f t="shared" si="12"/>
        <v>2400</v>
      </c>
    </row>
    <row r="828" spans="1:14" x14ac:dyDescent="0.3">
      <c r="A828" t="s">
        <v>1141</v>
      </c>
      <c r="B828" s="4">
        <v>46081</v>
      </c>
      <c r="C828" t="s">
        <v>457</v>
      </c>
      <c r="D828" t="s">
        <v>458</v>
      </c>
      <c r="E828" t="s">
        <v>1</v>
      </c>
      <c r="F828" t="s">
        <v>48</v>
      </c>
      <c r="G828" t="s">
        <v>79</v>
      </c>
      <c r="H828" t="s">
        <v>11</v>
      </c>
      <c r="I828" t="s">
        <v>57</v>
      </c>
      <c r="J828">
        <v>1</v>
      </c>
      <c r="K828">
        <v>4940</v>
      </c>
      <c r="L828" t="s">
        <v>7</v>
      </c>
      <c r="M828" t="s">
        <v>105</v>
      </c>
      <c r="N828">
        <f t="shared" si="12"/>
        <v>4940</v>
      </c>
    </row>
    <row r="829" spans="1:14" x14ac:dyDescent="0.3">
      <c r="A829" t="s">
        <v>1142</v>
      </c>
      <c r="B829" s="4">
        <v>46217</v>
      </c>
      <c r="C829" t="s">
        <v>186</v>
      </c>
      <c r="D829" t="s">
        <v>187</v>
      </c>
      <c r="E829" t="s">
        <v>6</v>
      </c>
      <c r="F829" t="s">
        <v>72</v>
      </c>
      <c r="G829" t="s">
        <v>79</v>
      </c>
      <c r="H829" t="s">
        <v>11</v>
      </c>
      <c r="I829" t="s">
        <v>57</v>
      </c>
      <c r="J829">
        <v>1</v>
      </c>
      <c r="K829">
        <v>5200</v>
      </c>
      <c r="L829" t="s">
        <v>4</v>
      </c>
      <c r="M829" t="s">
        <v>105</v>
      </c>
      <c r="N829">
        <f t="shared" si="12"/>
        <v>5200</v>
      </c>
    </row>
    <row r="830" spans="1:14" x14ac:dyDescent="0.3">
      <c r="A830" t="s">
        <v>1143</v>
      </c>
      <c r="B830" s="4">
        <v>46245</v>
      </c>
      <c r="C830" t="s">
        <v>873</v>
      </c>
      <c r="D830" t="s">
        <v>1144</v>
      </c>
      <c r="E830" t="s">
        <v>15</v>
      </c>
      <c r="F830" t="s">
        <v>90</v>
      </c>
      <c r="G830" t="s">
        <v>61</v>
      </c>
      <c r="H830" t="s">
        <v>62</v>
      </c>
      <c r="I830" t="s">
        <v>63</v>
      </c>
      <c r="J830">
        <v>2</v>
      </c>
      <c r="K830">
        <v>110</v>
      </c>
      <c r="L830" t="s">
        <v>4</v>
      </c>
      <c r="M830" t="s">
        <v>105</v>
      </c>
      <c r="N830">
        <f t="shared" si="12"/>
        <v>220</v>
      </c>
    </row>
    <row r="831" spans="1:14" x14ac:dyDescent="0.3">
      <c r="A831" t="s">
        <v>1145</v>
      </c>
      <c r="B831" s="4">
        <v>46179</v>
      </c>
      <c r="C831" t="s">
        <v>46</v>
      </c>
      <c r="D831" t="s">
        <v>47</v>
      </c>
      <c r="E831" t="s">
        <v>1</v>
      </c>
      <c r="F831" t="s">
        <v>48</v>
      </c>
      <c r="G831" t="s">
        <v>163</v>
      </c>
      <c r="H831" t="s">
        <v>164</v>
      </c>
      <c r="I831" t="s">
        <v>111</v>
      </c>
      <c r="J831">
        <v>3</v>
      </c>
      <c r="K831">
        <v>240</v>
      </c>
      <c r="L831" t="s">
        <v>2</v>
      </c>
      <c r="M831" t="s">
        <v>80</v>
      </c>
      <c r="N831">
        <f t="shared" si="12"/>
        <v>720</v>
      </c>
    </row>
    <row r="832" spans="1:14" x14ac:dyDescent="0.3">
      <c r="A832" t="s">
        <v>1146</v>
      </c>
      <c r="B832" s="4">
        <v>46158</v>
      </c>
      <c r="C832" t="s">
        <v>196</v>
      </c>
      <c r="D832" t="s">
        <v>21</v>
      </c>
      <c r="E832" t="s">
        <v>18</v>
      </c>
      <c r="F832" t="s">
        <v>48</v>
      </c>
      <c r="G832" t="s">
        <v>49</v>
      </c>
      <c r="H832" t="s">
        <v>50</v>
      </c>
      <c r="I832" t="s">
        <v>51</v>
      </c>
      <c r="J832">
        <v>3</v>
      </c>
      <c r="K832">
        <v>90.25</v>
      </c>
      <c r="L832" t="s">
        <v>17</v>
      </c>
      <c r="M832" t="s">
        <v>58</v>
      </c>
      <c r="N832">
        <f t="shared" si="12"/>
        <v>270.75</v>
      </c>
    </row>
    <row r="833" spans="1:14" x14ac:dyDescent="0.3">
      <c r="A833" t="s">
        <v>1147</v>
      </c>
      <c r="B833" s="4">
        <v>46235</v>
      </c>
      <c r="C833" t="s">
        <v>380</v>
      </c>
      <c r="D833" t="s">
        <v>381</v>
      </c>
      <c r="E833" t="s">
        <v>18</v>
      </c>
      <c r="F833" t="s">
        <v>72</v>
      </c>
      <c r="G833" t="s">
        <v>73</v>
      </c>
      <c r="H833" t="s">
        <v>74</v>
      </c>
      <c r="I833" t="s">
        <v>75</v>
      </c>
      <c r="J833">
        <v>5</v>
      </c>
      <c r="K833">
        <v>420</v>
      </c>
      <c r="L833" t="s">
        <v>17</v>
      </c>
      <c r="M833" t="s">
        <v>105</v>
      </c>
      <c r="N833">
        <f t="shared" si="12"/>
        <v>2100</v>
      </c>
    </row>
    <row r="834" spans="1:14" x14ac:dyDescent="0.3">
      <c r="A834" t="s">
        <v>1148</v>
      </c>
      <c r="B834" s="4">
        <v>46166</v>
      </c>
      <c r="C834" t="s">
        <v>406</v>
      </c>
      <c r="D834" t="s">
        <v>407</v>
      </c>
      <c r="E834" t="s">
        <v>1</v>
      </c>
      <c r="F834" t="s">
        <v>72</v>
      </c>
      <c r="G834" t="s">
        <v>163</v>
      </c>
      <c r="H834" t="s">
        <v>164</v>
      </c>
      <c r="I834" t="s">
        <v>111</v>
      </c>
      <c r="J834">
        <v>2</v>
      </c>
      <c r="K834">
        <v>228</v>
      </c>
      <c r="L834" t="s">
        <v>9</v>
      </c>
      <c r="M834" t="s">
        <v>80</v>
      </c>
      <c r="N834">
        <f t="shared" si="12"/>
        <v>456</v>
      </c>
    </row>
    <row r="835" spans="1:14" x14ac:dyDescent="0.3">
      <c r="A835" t="s">
        <v>1149</v>
      </c>
      <c r="B835" s="4">
        <v>46250</v>
      </c>
      <c r="C835" t="s">
        <v>263</v>
      </c>
      <c r="D835" t="s">
        <v>264</v>
      </c>
      <c r="E835" t="s">
        <v>1</v>
      </c>
      <c r="F835" t="s">
        <v>72</v>
      </c>
      <c r="G835" t="s">
        <v>109</v>
      </c>
      <c r="H835" t="s">
        <v>110</v>
      </c>
      <c r="I835" t="s">
        <v>111</v>
      </c>
      <c r="J835">
        <v>1</v>
      </c>
      <c r="K835">
        <v>320</v>
      </c>
      <c r="L835" t="s">
        <v>4</v>
      </c>
      <c r="M835" t="s">
        <v>52</v>
      </c>
      <c r="N835">
        <f t="shared" ref="N835:N898" si="13">J835*K835</f>
        <v>320</v>
      </c>
    </row>
    <row r="836" spans="1:14" x14ac:dyDescent="0.3">
      <c r="A836" t="s">
        <v>1150</v>
      </c>
      <c r="B836" s="4">
        <v>46180</v>
      </c>
      <c r="C836" t="s">
        <v>223</v>
      </c>
      <c r="D836" t="s">
        <v>224</v>
      </c>
      <c r="E836" t="s">
        <v>18</v>
      </c>
      <c r="F836" t="s">
        <v>72</v>
      </c>
      <c r="G836" t="s">
        <v>239</v>
      </c>
      <c r="H836" t="s">
        <v>240</v>
      </c>
      <c r="I836" t="s">
        <v>63</v>
      </c>
      <c r="J836">
        <v>6</v>
      </c>
      <c r="K836">
        <v>756</v>
      </c>
      <c r="L836" t="s">
        <v>9</v>
      </c>
      <c r="M836" t="s">
        <v>105</v>
      </c>
      <c r="N836">
        <f t="shared" si="13"/>
        <v>4536</v>
      </c>
    </row>
    <row r="837" spans="1:14" x14ac:dyDescent="0.3">
      <c r="A837" t="s">
        <v>1151</v>
      </c>
      <c r="B837" s="4">
        <v>46047</v>
      </c>
      <c r="C837" t="s">
        <v>332</v>
      </c>
      <c r="D837" t="s">
        <v>333</v>
      </c>
      <c r="E837" t="s">
        <v>1</v>
      </c>
      <c r="F837" t="s">
        <v>72</v>
      </c>
      <c r="G837" t="s">
        <v>73</v>
      </c>
      <c r="H837" t="s">
        <v>74</v>
      </c>
      <c r="I837" t="s">
        <v>75</v>
      </c>
      <c r="J837">
        <v>3</v>
      </c>
      <c r="K837">
        <v>399</v>
      </c>
      <c r="L837" t="s">
        <v>9</v>
      </c>
      <c r="M837" t="s">
        <v>52</v>
      </c>
      <c r="N837">
        <f t="shared" si="13"/>
        <v>1197</v>
      </c>
    </row>
    <row r="838" spans="1:14" x14ac:dyDescent="0.3">
      <c r="A838" t="s">
        <v>1152</v>
      </c>
      <c r="B838" s="4">
        <v>46106</v>
      </c>
      <c r="C838" t="s">
        <v>196</v>
      </c>
      <c r="D838" t="s">
        <v>21</v>
      </c>
      <c r="E838" t="s">
        <v>18</v>
      </c>
      <c r="F838" t="s">
        <v>48</v>
      </c>
      <c r="G838" t="s">
        <v>95</v>
      </c>
      <c r="H838" t="s">
        <v>96</v>
      </c>
      <c r="I838" t="s">
        <v>75</v>
      </c>
      <c r="J838">
        <v>2</v>
      </c>
      <c r="K838">
        <v>650</v>
      </c>
      <c r="L838" t="s">
        <v>4</v>
      </c>
      <c r="M838" t="s">
        <v>52</v>
      </c>
      <c r="N838">
        <f t="shared" si="13"/>
        <v>1300</v>
      </c>
    </row>
    <row r="839" spans="1:14" x14ac:dyDescent="0.3">
      <c r="A839" t="s">
        <v>1153</v>
      </c>
      <c r="B839" s="4">
        <v>46047</v>
      </c>
      <c r="C839" t="s">
        <v>285</v>
      </c>
      <c r="D839" t="s">
        <v>47</v>
      </c>
      <c r="E839" t="s">
        <v>6</v>
      </c>
      <c r="F839" t="s">
        <v>72</v>
      </c>
      <c r="G839" t="s">
        <v>73</v>
      </c>
      <c r="H839" t="s">
        <v>74</v>
      </c>
      <c r="I839" t="s">
        <v>75</v>
      </c>
      <c r="J839">
        <v>1</v>
      </c>
      <c r="K839">
        <v>420</v>
      </c>
      <c r="L839" t="s">
        <v>2</v>
      </c>
      <c r="M839" t="s">
        <v>58</v>
      </c>
      <c r="N839">
        <f t="shared" si="13"/>
        <v>420</v>
      </c>
    </row>
    <row r="840" spans="1:14" x14ac:dyDescent="0.3">
      <c r="A840" t="s">
        <v>1154</v>
      </c>
      <c r="B840" s="4">
        <v>46204</v>
      </c>
      <c r="C840" t="s">
        <v>126</v>
      </c>
      <c r="D840" t="s">
        <v>127</v>
      </c>
      <c r="E840" t="s">
        <v>15</v>
      </c>
      <c r="F840" t="s">
        <v>72</v>
      </c>
      <c r="G840" t="s">
        <v>67</v>
      </c>
      <c r="H840" t="s">
        <v>8</v>
      </c>
      <c r="I840" t="s">
        <v>68</v>
      </c>
      <c r="J840">
        <v>2</v>
      </c>
      <c r="K840">
        <v>1450</v>
      </c>
      <c r="L840" t="s">
        <v>14</v>
      </c>
      <c r="M840" t="s">
        <v>105</v>
      </c>
      <c r="N840">
        <f t="shared" si="13"/>
        <v>2900</v>
      </c>
    </row>
    <row r="841" spans="1:14" x14ac:dyDescent="0.3">
      <c r="A841" t="s">
        <v>1155</v>
      </c>
      <c r="B841" s="4">
        <v>46180</v>
      </c>
      <c r="C841" t="s">
        <v>339</v>
      </c>
      <c r="D841" t="s">
        <v>340</v>
      </c>
      <c r="E841" t="s">
        <v>6</v>
      </c>
      <c r="F841" t="s">
        <v>90</v>
      </c>
      <c r="G841" t="s">
        <v>84</v>
      </c>
      <c r="H841" t="s">
        <v>85</v>
      </c>
      <c r="I841" t="s">
        <v>51</v>
      </c>
      <c r="J841">
        <v>6</v>
      </c>
      <c r="K841">
        <v>760</v>
      </c>
      <c r="L841" t="s">
        <v>17</v>
      </c>
      <c r="M841" t="s">
        <v>105</v>
      </c>
      <c r="N841">
        <f t="shared" si="13"/>
        <v>4560</v>
      </c>
    </row>
    <row r="842" spans="1:14" x14ac:dyDescent="0.3">
      <c r="A842" t="s">
        <v>1156</v>
      </c>
      <c r="B842" s="4">
        <v>46257</v>
      </c>
      <c r="C842" t="s">
        <v>129</v>
      </c>
      <c r="D842" t="s">
        <v>130</v>
      </c>
      <c r="E842" t="s">
        <v>15</v>
      </c>
      <c r="F842" t="s">
        <v>90</v>
      </c>
      <c r="G842" t="s">
        <v>123</v>
      </c>
      <c r="H842" t="s">
        <v>124</v>
      </c>
      <c r="I842" t="s">
        <v>111</v>
      </c>
      <c r="J842">
        <v>1</v>
      </c>
      <c r="K842">
        <v>160</v>
      </c>
      <c r="L842" t="s">
        <v>9</v>
      </c>
      <c r="M842" t="s">
        <v>52</v>
      </c>
      <c r="N842">
        <f t="shared" si="13"/>
        <v>160</v>
      </c>
    </row>
    <row r="843" spans="1:14" x14ac:dyDescent="0.3">
      <c r="A843" t="s">
        <v>1157</v>
      </c>
      <c r="B843" s="4">
        <v>46131</v>
      </c>
      <c r="C843" t="s">
        <v>60</v>
      </c>
      <c r="D843" t="s">
        <v>5</v>
      </c>
      <c r="E843" t="s">
        <v>6</v>
      </c>
      <c r="F843" t="s">
        <v>48</v>
      </c>
      <c r="G843" t="s">
        <v>163</v>
      </c>
      <c r="H843" t="s">
        <v>164</v>
      </c>
      <c r="I843" t="s">
        <v>111</v>
      </c>
      <c r="J843">
        <v>1</v>
      </c>
      <c r="K843">
        <v>240</v>
      </c>
      <c r="L843" t="s">
        <v>7</v>
      </c>
      <c r="M843" t="s">
        <v>52</v>
      </c>
      <c r="N843">
        <f t="shared" si="13"/>
        <v>240</v>
      </c>
    </row>
    <row r="844" spans="1:14" x14ac:dyDescent="0.3">
      <c r="A844" t="s">
        <v>1158</v>
      </c>
      <c r="B844" s="4">
        <v>46075</v>
      </c>
      <c r="C844" t="s">
        <v>470</v>
      </c>
      <c r="D844" t="s">
        <v>471</v>
      </c>
      <c r="E844" t="s">
        <v>1</v>
      </c>
      <c r="F844" t="s">
        <v>90</v>
      </c>
      <c r="G844" t="s">
        <v>208</v>
      </c>
      <c r="H844" t="s">
        <v>22</v>
      </c>
      <c r="I844" t="s">
        <v>68</v>
      </c>
      <c r="J844">
        <v>1</v>
      </c>
      <c r="K844">
        <v>2200</v>
      </c>
      <c r="L844" t="s">
        <v>14</v>
      </c>
      <c r="M844" t="s">
        <v>105</v>
      </c>
      <c r="N844">
        <f t="shared" si="13"/>
        <v>2200</v>
      </c>
    </row>
    <row r="845" spans="1:14" x14ac:dyDescent="0.3">
      <c r="A845" t="s">
        <v>1159</v>
      </c>
      <c r="B845" s="4">
        <v>46163</v>
      </c>
      <c r="C845" t="s">
        <v>215</v>
      </c>
      <c r="D845" t="s">
        <v>12</v>
      </c>
      <c r="E845" t="s">
        <v>10</v>
      </c>
      <c r="F845" t="s">
        <v>72</v>
      </c>
      <c r="G845" t="s">
        <v>205</v>
      </c>
      <c r="H845" t="s">
        <v>206</v>
      </c>
      <c r="I845" t="s">
        <v>51</v>
      </c>
      <c r="J845">
        <v>4</v>
      </c>
      <c r="K845">
        <v>619.5</v>
      </c>
      <c r="L845" t="s">
        <v>4</v>
      </c>
      <c r="M845" t="s">
        <v>52</v>
      </c>
      <c r="N845">
        <f t="shared" si="13"/>
        <v>2478</v>
      </c>
    </row>
    <row r="846" spans="1:14" x14ac:dyDescent="0.3">
      <c r="A846" t="s">
        <v>1160</v>
      </c>
      <c r="B846" s="4">
        <v>46140</v>
      </c>
      <c r="C846" t="s">
        <v>361</v>
      </c>
      <c r="D846" t="s">
        <v>362</v>
      </c>
      <c r="E846" t="s">
        <v>15</v>
      </c>
      <c r="F846" t="s">
        <v>48</v>
      </c>
      <c r="G846" t="s">
        <v>205</v>
      </c>
      <c r="H846" t="s">
        <v>206</v>
      </c>
      <c r="I846" t="s">
        <v>51</v>
      </c>
      <c r="J846">
        <v>2</v>
      </c>
      <c r="K846">
        <v>560.5</v>
      </c>
      <c r="L846" t="s">
        <v>17</v>
      </c>
      <c r="M846" t="s">
        <v>58</v>
      </c>
      <c r="N846">
        <f t="shared" si="13"/>
        <v>1121</v>
      </c>
    </row>
    <row r="847" spans="1:14" x14ac:dyDescent="0.3">
      <c r="A847" t="s">
        <v>1161</v>
      </c>
      <c r="B847" s="4">
        <v>46095</v>
      </c>
      <c r="C847" t="s">
        <v>244</v>
      </c>
      <c r="D847" t="s">
        <v>1162</v>
      </c>
      <c r="E847" t="s">
        <v>18</v>
      </c>
      <c r="F847" t="s">
        <v>90</v>
      </c>
      <c r="G847" t="s">
        <v>49</v>
      </c>
      <c r="H847" t="s">
        <v>50</v>
      </c>
      <c r="I847" t="s">
        <v>51</v>
      </c>
      <c r="J847">
        <v>3</v>
      </c>
      <c r="K847">
        <v>99.75</v>
      </c>
      <c r="L847" t="s">
        <v>9</v>
      </c>
      <c r="M847" t="s">
        <v>58</v>
      </c>
      <c r="N847">
        <f t="shared" si="13"/>
        <v>299.25</v>
      </c>
    </row>
    <row r="848" spans="1:14" x14ac:dyDescent="0.3">
      <c r="A848" t="s">
        <v>1163</v>
      </c>
      <c r="B848" s="4">
        <v>46038</v>
      </c>
      <c r="C848" t="s">
        <v>573</v>
      </c>
      <c r="D848" t="s">
        <v>20</v>
      </c>
      <c r="E848" t="s">
        <v>10</v>
      </c>
      <c r="F848" t="s">
        <v>48</v>
      </c>
      <c r="G848" t="s">
        <v>208</v>
      </c>
      <c r="H848" t="s">
        <v>22</v>
      </c>
      <c r="I848" t="s">
        <v>68</v>
      </c>
      <c r="J848">
        <v>3</v>
      </c>
      <c r="K848">
        <v>2090</v>
      </c>
      <c r="L848" t="s">
        <v>9</v>
      </c>
      <c r="M848" t="s">
        <v>58</v>
      </c>
      <c r="N848">
        <f t="shared" si="13"/>
        <v>6270</v>
      </c>
    </row>
    <row r="849" spans="1:14" x14ac:dyDescent="0.3">
      <c r="A849" t="s">
        <v>1164</v>
      </c>
      <c r="B849" s="4">
        <v>46108</v>
      </c>
      <c r="C849" t="s">
        <v>114</v>
      </c>
      <c r="D849" t="s">
        <v>115</v>
      </c>
      <c r="E849" t="s">
        <v>18</v>
      </c>
      <c r="F849" t="s">
        <v>72</v>
      </c>
      <c r="G849" t="s">
        <v>239</v>
      </c>
      <c r="H849" t="s">
        <v>240</v>
      </c>
      <c r="I849" t="s">
        <v>63</v>
      </c>
      <c r="J849">
        <v>6</v>
      </c>
      <c r="K849">
        <v>684</v>
      </c>
      <c r="L849" t="s">
        <v>14</v>
      </c>
      <c r="M849" t="s">
        <v>105</v>
      </c>
      <c r="N849">
        <f t="shared" si="13"/>
        <v>4104</v>
      </c>
    </row>
    <row r="850" spans="1:14" x14ac:dyDescent="0.3">
      <c r="A850" t="s">
        <v>1165</v>
      </c>
      <c r="B850" s="4">
        <v>46196</v>
      </c>
      <c r="C850" t="s">
        <v>60</v>
      </c>
      <c r="D850" t="s">
        <v>5</v>
      </c>
      <c r="E850" t="s">
        <v>6</v>
      </c>
      <c r="F850" t="s">
        <v>48</v>
      </c>
      <c r="G850" t="s">
        <v>123</v>
      </c>
      <c r="H850" t="s">
        <v>124</v>
      </c>
      <c r="I850" t="s">
        <v>111</v>
      </c>
      <c r="J850">
        <v>1</v>
      </c>
      <c r="K850">
        <v>168</v>
      </c>
      <c r="L850" t="s">
        <v>17</v>
      </c>
      <c r="M850" t="s">
        <v>52</v>
      </c>
      <c r="N850">
        <f t="shared" si="13"/>
        <v>168</v>
      </c>
    </row>
    <row r="851" spans="1:14" x14ac:dyDescent="0.3">
      <c r="A851" t="s">
        <v>1166</v>
      </c>
      <c r="B851" s="4">
        <v>46033</v>
      </c>
      <c r="C851" t="s">
        <v>178</v>
      </c>
      <c r="D851" t="s">
        <v>179</v>
      </c>
      <c r="E851" t="s">
        <v>10</v>
      </c>
      <c r="F851" t="s">
        <v>48</v>
      </c>
      <c r="G851" t="s">
        <v>201</v>
      </c>
      <c r="H851" t="s">
        <v>202</v>
      </c>
      <c r="I851" t="s">
        <v>63</v>
      </c>
      <c r="J851">
        <v>1</v>
      </c>
      <c r="K851">
        <v>480</v>
      </c>
      <c r="L851" t="s">
        <v>7</v>
      </c>
      <c r="M851" t="s">
        <v>80</v>
      </c>
      <c r="N851">
        <f t="shared" si="13"/>
        <v>480</v>
      </c>
    </row>
    <row r="852" spans="1:14" x14ac:dyDescent="0.3">
      <c r="A852" t="s">
        <v>1167</v>
      </c>
      <c r="B852" s="4">
        <v>46233</v>
      </c>
      <c r="C852" t="s">
        <v>146</v>
      </c>
      <c r="D852" t="s">
        <v>147</v>
      </c>
      <c r="E852" t="s">
        <v>15</v>
      </c>
      <c r="F852" t="s">
        <v>90</v>
      </c>
      <c r="G852" t="s">
        <v>109</v>
      </c>
      <c r="H852" t="s">
        <v>110</v>
      </c>
      <c r="I852" t="s">
        <v>111</v>
      </c>
      <c r="J852">
        <v>1</v>
      </c>
      <c r="K852">
        <v>320</v>
      </c>
      <c r="L852" t="s">
        <v>17</v>
      </c>
      <c r="M852" t="s">
        <v>58</v>
      </c>
      <c r="N852">
        <f t="shared" si="13"/>
        <v>320</v>
      </c>
    </row>
    <row r="853" spans="1:14" x14ac:dyDescent="0.3">
      <c r="A853" t="s">
        <v>1168</v>
      </c>
      <c r="B853" s="4">
        <v>46058</v>
      </c>
      <c r="C853" t="s">
        <v>416</v>
      </c>
      <c r="D853" t="s">
        <v>417</v>
      </c>
      <c r="E853" t="s">
        <v>19</v>
      </c>
      <c r="F853" t="s">
        <v>72</v>
      </c>
      <c r="G853" t="s">
        <v>205</v>
      </c>
      <c r="H853" t="s">
        <v>206</v>
      </c>
      <c r="I853" t="s">
        <v>51</v>
      </c>
      <c r="J853">
        <v>1</v>
      </c>
      <c r="K853">
        <v>590</v>
      </c>
      <c r="L853" t="s">
        <v>7</v>
      </c>
      <c r="M853" t="s">
        <v>105</v>
      </c>
      <c r="N853">
        <f t="shared" si="13"/>
        <v>590</v>
      </c>
    </row>
    <row r="854" spans="1:14" x14ac:dyDescent="0.3">
      <c r="A854" t="s">
        <v>1169</v>
      </c>
      <c r="B854" s="4">
        <v>46202</v>
      </c>
      <c r="C854" t="s">
        <v>316</v>
      </c>
      <c r="D854" t="s">
        <v>317</v>
      </c>
      <c r="E854" t="s">
        <v>6</v>
      </c>
      <c r="F854" t="s">
        <v>72</v>
      </c>
      <c r="G854" t="s">
        <v>79</v>
      </c>
      <c r="H854" t="s">
        <v>11</v>
      </c>
      <c r="I854" t="s">
        <v>57</v>
      </c>
      <c r="J854">
        <v>1</v>
      </c>
      <c r="K854">
        <v>4940</v>
      </c>
      <c r="L854" t="s">
        <v>14</v>
      </c>
      <c r="M854" t="s">
        <v>58</v>
      </c>
      <c r="N854">
        <f t="shared" si="13"/>
        <v>4940</v>
      </c>
    </row>
    <row r="855" spans="1:14" x14ac:dyDescent="0.3">
      <c r="A855" t="s">
        <v>1170</v>
      </c>
      <c r="B855" s="4">
        <v>46133</v>
      </c>
      <c r="C855" t="s">
        <v>615</v>
      </c>
      <c r="D855" t="s">
        <v>118</v>
      </c>
      <c r="E855" t="s">
        <v>6</v>
      </c>
      <c r="F855" t="s">
        <v>48</v>
      </c>
      <c r="G855" t="s">
        <v>239</v>
      </c>
      <c r="H855" t="s">
        <v>240</v>
      </c>
      <c r="I855" t="s">
        <v>63</v>
      </c>
      <c r="J855">
        <v>3</v>
      </c>
      <c r="K855">
        <v>720</v>
      </c>
      <c r="L855" t="s">
        <v>7</v>
      </c>
      <c r="M855" t="s">
        <v>80</v>
      </c>
      <c r="N855">
        <f t="shared" si="13"/>
        <v>2160</v>
      </c>
    </row>
    <row r="856" spans="1:14" x14ac:dyDescent="0.3">
      <c r="A856" t="s">
        <v>1171</v>
      </c>
      <c r="B856" s="4">
        <v>46181</v>
      </c>
      <c r="C856" t="s">
        <v>54</v>
      </c>
      <c r="D856" t="s">
        <v>55</v>
      </c>
      <c r="E856" t="s">
        <v>1</v>
      </c>
      <c r="F856" t="s">
        <v>48</v>
      </c>
      <c r="G856" t="s">
        <v>208</v>
      </c>
      <c r="H856" t="s">
        <v>22</v>
      </c>
      <c r="I856" t="s">
        <v>68</v>
      </c>
      <c r="J856">
        <v>2</v>
      </c>
      <c r="K856">
        <v>2310</v>
      </c>
      <c r="L856" t="s">
        <v>2</v>
      </c>
      <c r="M856" t="s">
        <v>105</v>
      </c>
      <c r="N856">
        <f t="shared" si="13"/>
        <v>4620</v>
      </c>
    </row>
    <row r="857" spans="1:14" x14ac:dyDescent="0.3">
      <c r="A857" t="s">
        <v>1172</v>
      </c>
      <c r="B857" s="4">
        <v>46250</v>
      </c>
      <c r="C857" t="s">
        <v>215</v>
      </c>
      <c r="D857" t="s">
        <v>12</v>
      </c>
      <c r="E857" t="s">
        <v>10</v>
      </c>
      <c r="F857" t="s">
        <v>72</v>
      </c>
      <c r="G857" t="s">
        <v>123</v>
      </c>
      <c r="H857" t="s">
        <v>124</v>
      </c>
      <c r="I857" t="s">
        <v>111</v>
      </c>
      <c r="J857">
        <v>3</v>
      </c>
      <c r="K857">
        <v>160</v>
      </c>
      <c r="L857" t="s">
        <v>9</v>
      </c>
      <c r="M857" t="s">
        <v>58</v>
      </c>
      <c r="N857">
        <f t="shared" si="13"/>
        <v>480</v>
      </c>
    </row>
    <row r="858" spans="1:14" x14ac:dyDescent="0.3">
      <c r="A858" t="s">
        <v>1173</v>
      </c>
      <c r="B858" s="4">
        <v>46143</v>
      </c>
      <c r="C858" t="s">
        <v>470</v>
      </c>
      <c r="D858" t="s">
        <v>471</v>
      </c>
      <c r="E858" t="s">
        <v>1</v>
      </c>
      <c r="F858" t="s">
        <v>90</v>
      </c>
      <c r="G858" t="s">
        <v>136</v>
      </c>
      <c r="H858" t="s">
        <v>137</v>
      </c>
      <c r="I858" t="s">
        <v>111</v>
      </c>
      <c r="J858">
        <v>3</v>
      </c>
      <c r="K858">
        <v>80.75</v>
      </c>
      <c r="L858" t="s">
        <v>2</v>
      </c>
      <c r="M858" t="s">
        <v>52</v>
      </c>
      <c r="N858">
        <f t="shared" si="13"/>
        <v>242.25</v>
      </c>
    </row>
    <row r="859" spans="1:14" x14ac:dyDescent="0.3">
      <c r="A859" t="s">
        <v>1174</v>
      </c>
      <c r="B859" s="4">
        <v>46129</v>
      </c>
      <c r="C859" t="s">
        <v>344</v>
      </c>
      <c r="D859" t="s">
        <v>345</v>
      </c>
      <c r="E859" t="s">
        <v>6</v>
      </c>
      <c r="F859" t="s">
        <v>90</v>
      </c>
      <c r="G859" t="s">
        <v>95</v>
      </c>
      <c r="H859" t="s">
        <v>96</v>
      </c>
      <c r="I859" t="s">
        <v>75</v>
      </c>
      <c r="J859">
        <v>1</v>
      </c>
      <c r="K859">
        <v>650</v>
      </c>
      <c r="L859" t="s">
        <v>17</v>
      </c>
      <c r="M859" t="s">
        <v>52</v>
      </c>
      <c r="N859">
        <f t="shared" si="13"/>
        <v>650</v>
      </c>
    </row>
    <row r="860" spans="1:14" x14ac:dyDescent="0.3">
      <c r="A860" t="s">
        <v>1175</v>
      </c>
      <c r="B860" s="4">
        <v>46200</v>
      </c>
      <c r="C860" t="s">
        <v>305</v>
      </c>
      <c r="D860" t="s">
        <v>306</v>
      </c>
      <c r="E860" t="s">
        <v>10</v>
      </c>
      <c r="F860" t="s">
        <v>90</v>
      </c>
      <c r="G860" t="s">
        <v>79</v>
      </c>
      <c r="H860" t="s">
        <v>11</v>
      </c>
      <c r="I860" t="s">
        <v>57</v>
      </c>
      <c r="J860">
        <v>1</v>
      </c>
      <c r="K860">
        <v>4940</v>
      </c>
      <c r="L860" t="s">
        <v>7</v>
      </c>
      <c r="M860" t="s">
        <v>80</v>
      </c>
      <c r="N860">
        <f t="shared" si="13"/>
        <v>4940</v>
      </c>
    </row>
    <row r="861" spans="1:14" x14ac:dyDescent="0.3">
      <c r="A861" t="s">
        <v>1176</v>
      </c>
      <c r="B861" s="4">
        <v>46106</v>
      </c>
      <c r="C861" t="s">
        <v>541</v>
      </c>
      <c r="D861" t="s">
        <v>211</v>
      </c>
      <c r="E861" t="s">
        <v>18</v>
      </c>
      <c r="F861" t="s">
        <v>48</v>
      </c>
      <c r="G861" t="s">
        <v>49</v>
      </c>
      <c r="H861" t="s">
        <v>50</v>
      </c>
      <c r="I861" t="s">
        <v>51</v>
      </c>
      <c r="J861">
        <v>4</v>
      </c>
      <c r="K861">
        <v>90.25</v>
      </c>
      <c r="L861" t="s">
        <v>2</v>
      </c>
      <c r="M861" t="s">
        <v>80</v>
      </c>
      <c r="N861">
        <f t="shared" si="13"/>
        <v>361</v>
      </c>
    </row>
    <row r="862" spans="1:14" x14ac:dyDescent="0.3">
      <c r="A862" t="s">
        <v>1177</v>
      </c>
      <c r="B862" s="4">
        <v>46209</v>
      </c>
      <c r="C862" t="s">
        <v>524</v>
      </c>
      <c r="D862" t="s">
        <v>525</v>
      </c>
      <c r="E862" t="s">
        <v>10</v>
      </c>
      <c r="F862" t="s">
        <v>90</v>
      </c>
      <c r="G862" t="s">
        <v>109</v>
      </c>
      <c r="H862" t="s">
        <v>110</v>
      </c>
      <c r="I862" t="s">
        <v>111</v>
      </c>
      <c r="J862">
        <v>2</v>
      </c>
      <c r="K862">
        <v>304</v>
      </c>
      <c r="L862" t="s">
        <v>9</v>
      </c>
      <c r="M862" t="s">
        <v>52</v>
      </c>
      <c r="N862">
        <f t="shared" si="13"/>
        <v>608</v>
      </c>
    </row>
    <row r="863" spans="1:14" x14ac:dyDescent="0.3">
      <c r="A863" t="s">
        <v>1178</v>
      </c>
      <c r="B863" s="4">
        <v>46196</v>
      </c>
      <c r="C863" t="s">
        <v>561</v>
      </c>
      <c r="D863" t="s">
        <v>562</v>
      </c>
      <c r="E863" t="s">
        <v>15</v>
      </c>
      <c r="F863" t="s">
        <v>90</v>
      </c>
      <c r="G863" t="s">
        <v>61</v>
      </c>
      <c r="H863" t="s">
        <v>62</v>
      </c>
      <c r="I863" t="s">
        <v>63</v>
      </c>
      <c r="J863">
        <v>2</v>
      </c>
      <c r="K863">
        <v>110</v>
      </c>
      <c r="L863" t="s">
        <v>14</v>
      </c>
      <c r="M863" t="s">
        <v>52</v>
      </c>
      <c r="N863">
        <f t="shared" si="13"/>
        <v>220</v>
      </c>
    </row>
    <row r="864" spans="1:14" x14ac:dyDescent="0.3">
      <c r="A864" t="s">
        <v>1179</v>
      </c>
      <c r="B864" s="4">
        <v>46184</v>
      </c>
      <c r="C864" t="s">
        <v>615</v>
      </c>
      <c r="D864" t="s">
        <v>118</v>
      </c>
      <c r="E864" t="s">
        <v>6</v>
      </c>
      <c r="F864" t="s">
        <v>48</v>
      </c>
      <c r="G864" t="s">
        <v>208</v>
      </c>
      <c r="H864" t="s">
        <v>22</v>
      </c>
      <c r="I864" t="s">
        <v>68</v>
      </c>
      <c r="J864">
        <v>2</v>
      </c>
      <c r="K864">
        <v>2310</v>
      </c>
      <c r="L864" t="s">
        <v>7</v>
      </c>
      <c r="M864" t="s">
        <v>105</v>
      </c>
      <c r="N864">
        <f t="shared" si="13"/>
        <v>4620</v>
      </c>
    </row>
    <row r="865" spans="1:14" x14ac:dyDescent="0.3">
      <c r="A865" t="s">
        <v>1180</v>
      </c>
      <c r="B865" s="4">
        <v>46214</v>
      </c>
      <c r="C865" t="s">
        <v>65</v>
      </c>
      <c r="D865" t="s">
        <v>66</v>
      </c>
      <c r="E865" t="s">
        <v>1</v>
      </c>
      <c r="F865" t="s">
        <v>48</v>
      </c>
      <c r="G865" t="s">
        <v>95</v>
      </c>
      <c r="H865" t="s">
        <v>96</v>
      </c>
      <c r="I865" t="s">
        <v>75</v>
      </c>
      <c r="J865">
        <v>1</v>
      </c>
      <c r="K865">
        <v>682.5</v>
      </c>
      <c r="L865" t="s">
        <v>7</v>
      </c>
      <c r="M865" t="s">
        <v>80</v>
      </c>
      <c r="N865">
        <f t="shared" si="13"/>
        <v>682.5</v>
      </c>
    </row>
    <row r="866" spans="1:14" x14ac:dyDescent="0.3">
      <c r="A866" t="s">
        <v>1181</v>
      </c>
      <c r="B866" s="4">
        <v>46028</v>
      </c>
      <c r="C866" t="s">
        <v>538</v>
      </c>
      <c r="D866" t="s">
        <v>539</v>
      </c>
      <c r="E866" t="s">
        <v>15</v>
      </c>
      <c r="F866" t="s">
        <v>48</v>
      </c>
      <c r="G866" t="s">
        <v>49</v>
      </c>
      <c r="H866" t="s">
        <v>50</v>
      </c>
      <c r="I866" t="s">
        <v>51</v>
      </c>
      <c r="J866">
        <v>1</v>
      </c>
      <c r="K866">
        <v>95</v>
      </c>
      <c r="L866" t="s">
        <v>7</v>
      </c>
      <c r="M866" t="s">
        <v>58</v>
      </c>
      <c r="N866">
        <f t="shared" si="13"/>
        <v>95</v>
      </c>
    </row>
    <row r="867" spans="1:14" x14ac:dyDescent="0.3">
      <c r="A867" t="s">
        <v>1182</v>
      </c>
      <c r="B867" s="4">
        <v>46239</v>
      </c>
      <c r="C867" t="s">
        <v>451</v>
      </c>
      <c r="D867" t="s">
        <v>452</v>
      </c>
      <c r="E867" t="s">
        <v>6</v>
      </c>
      <c r="F867" t="s">
        <v>72</v>
      </c>
      <c r="G867" t="s">
        <v>91</v>
      </c>
      <c r="H867" t="s">
        <v>13</v>
      </c>
      <c r="I867" t="s">
        <v>57</v>
      </c>
      <c r="J867">
        <v>1</v>
      </c>
      <c r="K867">
        <v>3100</v>
      </c>
      <c r="L867" t="s">
        <v>2</v>
      </c>
      <c r="M867" t="s">
        <v>52</v>
      </c>
      <c r="N867">
        <f t="shared" si="13"/>
        <v>3100</v>
      </c>
    </row>
    <row r="868" spans="1:14" x14ac:dyDescent="0.3">
      <c r="A868" t="s">
        <v>1183</v>
      </c>
      <c r="B868" s="4">
        <v>46071</v>
      </c>
      <c r="C868" t="s">
        <v>237</v>
      </c>
      <c r="D868" t="s">
        <v>238</v>
      </c>
      <c r="E868" t="s">
        <v>10</v>
      </c>
      <c r="F868" t="s">
        <v>72</v>
      </c>
      <c r="G868" t="s">
        <v>109</v>
      </c>
      <c r="H868" t="s">
        <v>110</v>
      </c>
      <c r="I868" t="s">
        <v>111</v>
      </c>
      <c r="J868">
        <v>3</v>
      </c>
      <c r="K868">
        <v>320</v>
      </c>
      <c r="L868" t="s">
        <v>2</v>
      </c>
      <c r="M868" t="s">
        <v>80</v>
      </c>
      <c r="N868">
        <f t="shared" si="13"/>
        <v>960</v>
      </c>
    </row>
    <row r="869" spans="1:14" x14ac:dyDescent="0.3">
      <c r="A869" t="s">
        <v>1184</v>
      </c>
      <c r="B869" s="4">
        <v>46093</v>
      </c>
      <c r="C869" t="s">
        <v>158</v>
      </c>
      <c r="D869" t="s">
        <v>159</v>
      </c>
      <c r="E869" t="s">
        <v>18</v>
      </c>
      <c r="F869" t="s">
        <v>48</v>
      </c>
      <c r="G869" t="s">
        <v>163</v>
      </c>
      <c r="H869" t="s">
        <v>164</v>
      </c>
      <c r="I869" t="s">
        <v>111</v>
      </c>
      <c r="J869">
        <v>2</v>
      </c>
      <c r="K869">
        <v>240</v>
      </c>
      <c r="L869" t="s">
        <v>9</v>
      </c>
      <c r="M869" t="s">
        <v>80</v>
      </c>
      <c r="N869">
        <f t="shared" si="13"/>
        <v>480</v>
      </c>
    </row>
    <row r="870" spans="1:14" x14ac:dyDescent="0.3">
      <c r="A870" t="s">
        <v>1185</v>
      </c>
      <c r="B870" s="4">
        <v>46079</v>
      </c>
      <c r="C870" t="s">
        <v>380</v>
      </c>
      <c r="D870" t="s">
        <v>381</v>
      </c>
      <c r="E870" t="s">
        <v>18</v>
      </c>
      <c r="F870" t="s">
        <v>72</v>
      </c>
      <c r="G870" t="s">
        <v>239</v>
      </c>
      <c r="H870" t="s">
        <v>240</v>
      </c>
      <c r="I870" t="s">
        <v>63</v>
      </c>
      <c r="J870">
        <v>2</v>
      </c>
      <c r="K870">
        <v>720</v>
      </c>
      <c r="L870" t="s">
        <v>14</v>
      </c>
      <c r="M870" t="s">
        <v>80</v>
      </c>
      <c r="N870">
        <f t="shared" si="13"/>
        <v>1440</v>
      </c>
    </row>
    <row r="871" spans="1:14" x14ac:dyDescent="0.3">
      <c r="A871" t="s">
        <v>1186</v>
      </c>
      <c r="B871" s="4">
        <v>46223</v>
      </c>
      <c r="C871" t="s">
        <v>65</v>
      </c>
      <c r="D871" t="s">
        <v>66</v>
      </c>
      <c r="E871" t="s">
        <v>1</v>
      </c>
      <c r="F871" t="s">
        <v>48</v>
      </c>
      <c r="G871" t="s">
        <v>163</v>
      </c>
      <c r="H871" t="s">
        <v>164</v>
      </c>
      <c r="I871" t="s">
        <v>111</v>
      </c>
      <c r="J871">
        <v>1</v>
      </c>
      <c r="K871">
        <v>228</v>
      </c>
      <c r="L871" t="s">
        <v>4</v>
      </c>
      <c r="M871" t="s">
        <v>58</v>
      </c>
      <c r="N871">
        <f t="shared" si="13"/>
        <v>228</v>
      </c>
    </row>
    <row r="872" spans="1:14" x14ac:dyDescent="0.3">
      <c r="A872" t="s">
        <v>1187</v>
      </c>
      <c r="B872" s="4">
        <v>46255</v>
      </c>
      <c r="C872" t="s">
        <v>344</v>
      </c>
      <c r="D872" t="s">
        <v>345</v>
      </c>
      <c r="E872" t="s">
        <v>6</v>
      </c>
      <c r="F872" t="s">
        <v>90</v>
      </c>
      <c r="G872" t="s">
        <v>205</v>
      </c>
      <c r="H872" t="s">
        <v>206</v>
      </c>
      <c r="I872" t="s">
        <v>51</v>
      </c>
      <c r="J872">
        <v>2</v>
      </c>
      <c r="K872">
        <v>590</v>
      </c>
      <c r="L872" t="s">
        <v>7</v>
      </c>
      <c r="M872" t="s">
        <v>105</v>
      </c>
      <c r="N872">
        <f t="shared" si="13"/>
        <v>1180</v>
      </c>
    </row>
    <row r="873" spans="1:14" x14ac:dyDescent="0.3">
      <c r="A873" t="s">
        <v>1188</v>
      </c>
      <c r="B873" s="4">
        <v>46103</v>
      </c>
      <c r="C873" t="s">
        <v>339</v>
      </c>
      <c r="D873" t="s">
        <v>340</v>
      </c>
      <c r="E873" t="s">
        <v>6</v>
      </c>
      <c r="F873" t="s">
        <v>90</v>
      </c>
      <c r="G873" t="s">
        <v>84</v>
      </c>
      <c r="H873" t="s">
        <v>85</v>
      </c>
      <c r="I873" t="s">
        <v>51</v>
      </c>
      <c r="J873">
        <v>4</v>
      </c>
      <c r="K873">
        <v>760</v>
      </c>
      <c r="L873" t="s">
        <v>14</v>
      </c>
      <c r="M873" t="s">
        <v>52</v>
      </c>
      <c r="N873">
        <f t="shared" si="13"/>
        <v>3040</v>
      </c>
    </row>
    <row r="874" spans="1:14" x14ac:dyDescent="0.3">
      <c r="A874" t="s">
        <v>1189</v>
      </c>
      <c r="B874" s="4">
        <v>46141</v>
      </c>
      <c r="C874" t="s">
        <v>639</v>
      </c>
      <c r="D874" t="s">
        <v>21</v>
      </c>
      <c r="E874" t="s">
        <v>15</v>
      </c>
      <c r="F874" t="s">
        <v>72</v>
      </c>
      <c r="G874" t="s">
        <v>163</v>
      </c>
      <c r="H874" t="s">
        <v>164</v>
      </c>
      <c r="I874" t="s">
        <v>111</v>
      </c>
      <c r="J874">
        <v>2</v>
      </c>
      <c r="K874">
        <v>252</v>
      </c>
      <c r="L874" t="s">
        <v>14</v>
      </c>
      <c r="M874" t="s">
        <v>58</v>
      </c>
      <c r="N874">
        <f t="shared" si="13"/>
        <v>504</v>
      </c>
    </row>
    <row r="875" spans="1:14" x14ac:dyDescent="0.3">
      <c r="A875" t="s">
        <v>1190</v>
      </c>
      <c r="B875" s="4">
        <v>46199</v>
      </c>
      <c r="C875" t="s">
        <v>248</v>
      </c>
      <c r="D875" t="s">
        <v>94</v>
      </c>
      <c r="E875" t="s">
        <v>15</v>
      </c>
      <c r="F875" t="s">
        <v>90</v>
      </c>
      <c r="G875" t="s">
        <v>163</v>
      </c>
      <c r="H875" t="s">
        <v>164</v>
      </c>
      <c r="I875" t="s">
        <v>111</v>
      </c>
      <c r="J875">
        <v>5</v>
      </c>
      <c r="K875">
        <v>228</v>
      </c>
      <c r="L875" t="s">
        <v>7</v>
      </c>
      <c r="M875" t="s">
        <v>105</v>
      </c>
      <c r="N875">
        <f t="shared" si="13"/>
        <v>1140</v>
      </c>
    </row>
    <row r="876" spans="1:14" x14ac:dyDescent="0.3">
      <c r="A876" t="s">
        <v>1191</v>
      </c>
      <c r="B876" s="4">
        <v>46050</v>
      </c>
      <c r="C876" t="s">
        <v>132</v>
      </c>
      <c r="D876" t="s">
        <v>20</v>
      </c>
      <c r="E876" t="s">
        <v>19</v>
      </c>
      <c r="F876" t="s">
        <v>90</v>
      </c>
      <c r="G876" t="s">
        <v>163</v>
      </c>
      <c r="H876" t="s">
        <v>164</v>
      </c>
      <c r="I876" t="s">
        <v>111</v>
      </c>
      <c r="J876">
        <v>2</v>
      </c>
      <c r="K876">
        <v>240</v>
      </c>
      <c r="L876" t="s">
        <v>14</v>
      </c>
      <c r="M876" t="s">
        <v>80</v>
      </c>
      <c r="N876">
        <f t="shared" si="13"/>
        <v>480</v>
      </c>
    </row>
    <row r="877" spans="1:14" x14ac:dyDescent="0.3">
      <c r="A877" t="s">
        <v>1192</v>
      </c>
      <c r="B877" s="4">
        <v>46106</v>
      </c>
      <c r="C877" t="s">
        <v>335</v>
      </c>
      <c r="D877" t="s">
        <v>336</v>
      </c>
      <c r="E877" t="s">
        <v>6</v>
      </c>
      <c r="F877" t="s">
        <v>90</v>
      </c>
      <c r="G877" t="s">
        <v>79</v>
      </c>
      <c r="H877" t="s">
        <v>11</v>
      </c>
      <c r="I877" t="s">
        <v>57</v>
      </c>
      <c r="J877">
        <v>1</v>
      </c>
      <c r="K877">
        <v>5200</v>
      </c>
      <c r="L877" t="s">
        <v>7</v>
      </c>
      <c r="M877" t="s">
        <v>80</v>
      </c>
      <c r="N877">
        <f t="shared" si="13"/>
        <v>5200</v>
      </c>
    </row>
    <row r="878" spans="1:14" x14ac:dyDescent="0.3">
      <c r="A878" t="s">
        <v>1193</v>
      </c>
      <c r="B878" s="4">
        <v>46195</v>
      </c>
      <c r="C878" t="s">
        <v>510</v>
      </c>
      <c r="D878" t="s">
        <v>12</v>
      </c>
      <c r="E878" t="s">
        <v>10</v>
      </c>
      <c r="F878" t="s">
        <v>90</v>
      </c>
      <c r="G878" t="s">
        <v>73</v>
      </c>
      <c r="H878" t="s">
        <v>74</v>
      </c>
      <c r="I878" t="s">
        <v>75</v>
      </c>
      <c r="J878">
        <v>1</v>
      </c>
      <c r="K878">
        <v>420</v>
      </c>
      <c r="L878" t="s">
        <v>9</v>
      </c>
      <c r="M878" t="s">
        <v>80</v>
      </c>
      <c r="N878">
        <f t="shared" si="13"/>
        <v>420</v>
      </c>
    </row>
    <row r="879" spans="1:14" x14ac:dyDescent="0.3">
      <c r="A879" t="s">
        <v>1194</v>
      </c>
      <c r="B879" s="4">
        <v>46183</v>
      </c>
      <c r="C879" t="s">
        <v>89</v>
      </c>
      <c r="D879" t="s">
        <v>12</v>
      </c>
      <c r="E879" t="s">
        <v>1</v>
      </c>
      <c r="F879" t="s">
        <v>90</v>
      </c>
      <c r="G879" t="s">
        <v>136</v>
      </c>
      <c r="H879" t="s">
        <v>137</v>
      </c>
      <c r="I879" t="s">
        <v>111</v>
      </c>
      <c r="J879">
        <v>2</v>
      </c>
      <c r="K879">
        <v>80.75</v>
      </c>
      <c r="L879" t="s">
        <v>9</v>
      </c>
      <c r="M879" t="s">
        <v>80</v>
      </c>
      <c r="N879">
        <f t="shared" si="13"/>
        <v>161.5</v>
      </c>
    </row>
    <row r="880" spans="1:14" x14ac:dyDescent="0.3">
      <c r="A880" t="s">
        <v>1195</v>
      </c>
      <c r="B880" s="4">
        <v>46093</v>
      </c>
      <c r="C880" t="s">
        <v>293</v>
      </c>
      <c r="D880" t="s">
        <v>254</v>
      </c>
      <c r="E880" t="s">
        <v>19</v>
      </c>
      <c r="F880" t="s">
        <v>90</v>
      </c>
      <c r="G880" t="s">
        <v>61</v>
      </c>
      <c r="H880" t="s">
        <v>62</v>
      </c>
      <c r="I880" t="s">
        <v>63</v>
      </c>
      <c r="J880">
        <v>1</v>
      </c>
      <c r="K880">
        <v>110</v>
      </c>
      <c r="L880" t="s">
        <v>17</v>
      </c>
      <c r="M880" t="s">
        <v>52</v>
      </c>
      <c r="N880">
        <f t="shared" si="13"/>
        <v>110</v>
      </c>
    </row>
    <row r="881" spans="1:14" x14ac:dyDescent="0.3">
      <c r="A881" t="s">
        <v>1196</v>
      </c>
      <c r="B881" s="4">
        <v>46103</v>
      </c>
      <c r="C881" t="s">
        <v>585</v>
      </c>
      <c r="D881" t="s">
        <v>182</v>
      </c>
      <c r="E881" t="s">
        <v>6</v>
      </c>
      <c r="F881" t="s">
        <v>90</v>
      </c>
      <c r="G881" t="s">
        <v>183</v>
      </c>
      <c r="H881" t="s">
        <v>184</v>
      </c>
      <c r="I881" t="s">
        <v>111</v>
      </c>
      <c r="J881">
        <v>3</v>
      </c>
      <c r="K881">
        <v>180</v>
      </c>
      <c r="L881" t="s">
        <v>17</v>
      </c>
      <c r="M881" t="s">
        <v>105</v>
      </c>
      <c r="N881">
        <f t="shared" si="13"/>
        <v>540</v>
      </c>
    </row>
    <row r="882" spans="1:14" x14ac:dyDescent="0.3">
      <c r="A882" t="s">
        <v>1197</v>
      </c>
      <c r="B882" s="4">
        <v>46031</v>
      </c>
      <c r="C882" t="s">
        <v>463</v>
      </c>
      <c r="D882" t="s">
        <v>264</v>
      </c>
      <c r="E882" t="s">
        <v>6</v>
      </c>
      <c r="F882" t="s">
        <v>90</v>
      </c>
      <c r="G882" t="s">
        <v>208</v>
      </c>
      <c r="H882" t="s">
        <v>22</v>
      </c>
      <c r="I882" t="s">
        <v>68</v>
      </c>
      <c r="J882">
        <v>2</v>
      </c>
      <c r="K882">
        <v>2090</v>
      </c>
      <c r="L882" t="s">
        <v>14</v>
      </c>
      <c r="M882" t="s">
        <v>105</v>
      </c>
      <c r="N882">
        <f t="shared" si="13"/>
        <v>4180</v>
      </c>
    </row>
    <row r="883" spans="1:14" x14ac:dyDescent="0.3">
      <c r="A883" t="s">
        <v>1198</v>
      </c>
      <c r="B883" s="4">
        <v>46133</v>
      </c>
      <c r="C883" t="s">
        <v>463</v>
      </c>
      <c r="D883" t="s">
        <v>264</v>
      </c>
      <c r="E883" t="s">
        <v>6</v>
      </c>
      <c r="F883" t="s">
        <v>90</v>
      </c>
      <c r="G883" t="s">
        <v>183</v>
      </c>
      <c r="H883" t="s">
        <v>184</v>
      </c>
      <c r="I883" t="s">
        <v>111</v>
      </c>
      <c r="J883">
        <v>2</v>
      </c>
      <c r="K883">
        <v>189</v>
      </c>
      <c r="L883" t="s">
        <v>17</v>
      </c>
      <c r="M883" t="s">
        <v>105</v>
      </c>
      <c r="N883">
        <f t="shared" si="13"/>
        <v>378</v>
      </c>
    </row>
    <row r="884" spans="1:14" x14ac:dyDescent="0.3">
      <c r="A884" t="s">
        <v>1199</v>
      </c>
      <c r="B884" s="4">
        <v>46103</v>
      </c>
      <c r="C884" t="s">
        <v>210</v>
      </c>
      <c r="D884" t="s">
        <v>211</v>
      </c>
      <c r="E884" t="s">
        <v>19</v>
      </c>
      <c r="F884" t="s">
        <v>48</v>
      </c>
      <c r="G884" t="s">
        <v>201</v>
      </c>
      <c r="H884" t="s">
        <v>202</v>
      </c>
      <c r="I884" t="s">
        <v>63</v>
      </c>
      <c r="J884">
        <v>1</v>
      </c>
      <c r="K884">
        <v>480</v>
      </c>
      <c r="L884" t="s">
        <v>2</v>
      </c>
      <c r="M884" t="s">
        <v>58</v>
      </c>
      <c r="N884">
        <f t="shared" si="13"/>
        <v>480</v>
      </c>
    </row>
    <row r="885" spans="1:14" x14ac:dyDescent="0.3">
      <c r="A885" t="s">
        <v>1200</v>
      </c>
      <c r="B885" s="4">
        <v>46169</v>
      </c>
      <c r="C885" t="s">
        <v>54</v>
      </c>
      <c r="D885" t="s">
        <v>55</v>
      </c>
      <c r="E885" t="s">
        <v>1</v>
      </c>
      <c r="F885" t="s">
        <v>48</v>
      </c>
      <c r="G885" t="s">
        <v>73</v>
      </c>
      <c r="H885" t="s">
        <v>74</v>
      </c>
      <c r="I885" t="s">
        <v>75</v>
      </c>
      <c r="J885">
        <v>1</v>
      </c>
      <c r="K885">
        <v>420</v>
      </c>
      <c r="L885" t="s">
        <v>14</v>
      </c>
      <c r="M885" t="s">
        <v>105</v>
      </c>
      <c r="N885">
        <f t="shared" si="13"/>
        <v>420</v>
      </c>
    </row>
    <row r="886" spans="1:14" x14ac:dyDescent="0.3">
      <c r="A886" t="s">
        <v>1201</v>
      </c>
      <c r="B886" s="4">
        <v>46144</v>
      </c>
      <c r="C886" t="s">
        <v>248</v>
      </c>
      <c r="D886" t="s">
        <v>94</v>
      </c>
      <c r="E886" t="s">
        <v>15</v>
      </c>
      <c r="F886" t="s">
        <v>90</v>
      </c>
      <c r="G886" t="s">
        <v>73</v>
      </c>
      <c r="H886" t="s">
        <v>74</v>
      </c>
      <c r="I886" t="s">
        <v>75</v>
      </c>
      <c r="J886">
        <v>1</v>
      </c>
      <c r="K886">
        <v>420</v>
      </c>
      <c r="L886" t="s">
        <v>9</v>
      </c>
      <c r="M886" t="s">
        <v>80</v>
      </c>
      <c r="N886">
        <f t="shared" si="13"/>
        <v>420</v>
      </c>
    </row>
    <row r="887" spans="1:14" x14ac:dyDescent="0.3">
      <c r="A887" t="s">
        <v>1202</v>
      </c>
      <c r="B887" s="4">
        <v>46124</v>
      </c>
      <c r="C887" t="s">
        <v>174</v>
      </c>
      <c r="D887" t="s">
        <v>175</v>
      </c>
      <c r="E887" t="s">
        <v>10</v>
      </c>
      <c r="F887" t="s">
        <v>72</v>
      </c>
      <c r="G887" t="s">
        <v>201</v>
      </c>
      <c r="H887" t="s">
        <v>202</v>
      </c>
      <c r="I887" t="s">
        <v>63</v>
      </c>
      <c r="J887">
        <v>1</v>
      </c>
      <c r="K887">
        <v>480</v>
      </c>
      <c r="L887" t="s">
        <v>7</v>
      </c>
      <c r="M887" t="s">
        <v>105</v>
      </c>
      <c r="N887">
        <f t="shared" si="13"/>
        <v>480</v>
      </c>
    </row>
    <row r="888" spans="1:14" x14ac:dyDescent="0.3">
      <c r="A888" t="s">
        <v>1203</v>
      </c>
      <c r="B888" s="4">
        <v>46040</v>
      </c>
      <c r="C888" t="s">
        <v>170</v>
      </c>
      <c r="D888" t="s">
        <v>171</v>
      </c>
      <c r="E888" t="s">
        <v>15</v>
      </c>
      <c r="F888" t="s">
        <v>72</v>
      </c>
      <c r="G888" t="s">
        <v>136</v>
      </c>
      <c r="H888" t="s">
        <v>137</v>
      </c>
      <c r="I888" t="s">
        <v>111</v>
      </c>
      <c r="J888">
        <v>2</v>
      </c>
      <c r="K888">
        <v>85</v>
      </c>
      <c r="L888" t="s">
        <v>4</v>
      </c>
      <c r="M888" t="s">
        <v>105</v>
      </c>
      <c r="N888">
        <f t="shared" si="13"/>
        <v>170</v>
      </c>
    </row>
    <row r="889" spans="1:14" x14ac:dyDescent="0.3">
      <c r="A889" t="s">
        <v>1204</v>
      </c>
      <c r="B889" s="4">
        <v>46096</v>
      </c>
      <c r="C889" t="s">
        <v>198</v>
      </c>
      <c r="D889" t="s">
        <v>199</v>
      </c>
      <c r="E889" t="s">
        <v>6</v>
      </c>
      <c r="F889" t="s">
        <v>72</v>
      </c>
      <c r="G889" t="s">
        <v>123</v>
      </c>
      <c r="H889" t="s">
        <v>124</v>
      </c>
      <c r="I889" t="s">
        <v>111</v>
      </c>
      <c r="J889">
        <v>4</v>
      </c>
      <c r="K889">
        <v>168</v>
      </c>
      <c r="L889" t="s">
        <v>17</v>
      </c>
      <c r="M889" t="s">
        <v>52</v>
      </c>
      <c r="N889">
        <f t="shared" si="13"/>
        <v>672</v>
      </c>
    </row>
    <row r="890" spans="1:14" x14ac:dyDescent="0.3">
      <c r="A890" t="s">
        <v>1205</v>
      </c>
      <c r="B890" s="4">
        <v>46127</v>
      </c>
      <c r="C890" t="s">
        <v>291</v>
      </c>
      <c r="D890" t="s">
        <v>219</v>
      </c>
      <c r="E890" t="s">
        <v>19</v>
      </c>
      <c r="F890" t="s">
        <v>48</v>
      </c>
      <c r="G890" t="s">
        <v>67</v>
      </c>
      <c r="H890" t="s">
        <v>8</v>
      </c>
      <c r="I890" t="s">
        <v>68</v>
      </c>
      <c r="J890">
        <v>4</v>
      </c>
      <c r="K890">
        <v>1377.5</v>
      </c>
      <c r="L890" t="s">
        <v>7</v>
      </c>
      <c r="M890" t="s">
        <v>58</v>
      </c>
      <c r="N890">
        <f t="shared" si="13"/>
        <v>5510</v>
      </c>
    </row>
    <row r="891" spans="1:14" x14ac:dyDescent="0.3">
      <c r="A891" t="s">
        <v>1206</v>
      </c>
      <c r="B891" s="4">
        <v>46160</v>
      </c>
      <c r="C891" t="s">
        <v>121</v>
      </c>
      <c r="D891" t="s">
        <v>122</v>
      </c>
      <c r="E891" t="s">
        <v>18</v>
      </c>
      <c r="F891" t="s">
        <v>90</v>
      </c>
      <c r="G891" t="s">
        <v>239</v>
      </c>
      <c r="H891" t="s">
        <v>240</v>
      </c>
      <c r="I891" t="s">
        <v>63</v>
      </c>
      <c r="J891">
        <v>2</v>
      </c>
      <c r="K891">
        <v>756</v>
      </c>
      <c r="L891" t="s">
        <v>4</v>
      </c>
      <c r="M891" t="s">
        <v>52</v>
      </c>
      <c r="N891">
        <f t="shared" si="13"/>
        <v>1512</v>
      </c>
    </row>
    <row r="892" spans="1:14" x14ac:dyDescent="0.3">
      <c r="A892" t="s">
        <v>1207</v>
      </c>
      <c r="B892" s="4">
        <v>46164</v>
      </c>
      <c r="C892" t="s">
        <v>950</v>
      </c>
      <c r="D892" t="s">
        <v>951</v>
      </c>
      <c r="E892" t="s">
        <v>15</v>
      </c>
      <c r="F892" t="s">
        <v>72</v>
      </c>
      <c r="G892" t="s">
        <v>56</v>
      </c>
      <c r="H892" t="s">
        <v>3</v>
      </c>
      <c r="I892" t="s">
        <v>57</v>
      </c>
      <c r="J892">
        <v>1</v>
      </c>
      <c r="K892">
        <v>8200</v>
      </c>
      <c r="L892" t="s">
        <v>4</v>
      </c>
      <c r="M892" t="s">
        <v>58</v>
      </c>
      <c r="N892">
        <f t="shared" si="13"/>
        <v>8200</v>
      </c>
    </row>
    <row r="893" spans="1:14" x14ac:dyDescent="0.3">
      <c r="A893" t="s">
        <v>1208</v>
      </c>
      <c r="B893" s="4">
        <v>46232</v>
      </c>
      <c r="C893" t="s">
        <v>524</v>
      </c>
      <c r="D893" t="s">
        <v>525</v>
      </c>
      <c r="E893" t="s">
        <v>10</v>
      </c>
      <c r="F893" t="s">
        <v>90</v>
      </c>
      <c r="G893" t="s">
        <v>79</v>
      </c>
      <c r="H893" t="s">
        <v>11</v>
      </c>
      <c r="I893" t="s">
        <v>57</v>
      </c>
      <c r="J893">
        <v>3</v>
      </c>
      <c r="K893">
        <v>5200</v>
      </c>
      <c r="L893" t="s">
        <v>4</v>
      </c>
      <c r="M893" t="s">
        <v>80</v>
      </c>
      <c r="N893">
        <f t="shared" si="13"/>
        <v>15600</v>
      </c>
    </row>
    <row r="894" spans="1:14" x14ac:dyDescent="0.3">
      <c r="A894" t="s">
        <v>1209</v>
      </c>
      <c r="B894" s="4">
        <v>46068</v>
      </c>
      <c r="C894" t="s">
        <v>364</v>
      </c>
      <c r="D894" t="s">
        <v>365</v>
      </c>
      <c r="E894" t="s">
        <v>6</v>
      </c>
      <c r="F894" t="s">
        <v>90</v>
      </c>
      <c r="G894" t="s">
        <v>56</v>
      </c>
      <c r="H894" t="s">
        <v>3</v>
      </c>
      <c r="I894" t="s">
        <v>57</v>
      </c>
      <c r="J894">
        <v>3</v>
      </c>
      <c r="K894">
        <v>7790</v>
      </c>
      <c r="L894" t="s">
        <v>2</v>
      </c>
      <c r="M894" t="s">
        <v>105</v>
      </c>
      <c r="N894">
        <f t="shared" si="13"/>
        <v>23370</v>
      </c>
    </row>
    <row r="895" spans="1:14" x14ac:dyDescent="0.3">
      <c r="A895" t="s">
        <v>1210</v>
      </c>
      <c r="B895" s="4">
        <v>46107</v>
      </c>
      <c r="C895" t="s">
        <v>89</v>
      </c>
      <c r="D895" t="s">
        <v>12</v>
      </c>
      <c r="E895" t="s">
        <v>1</v>
      </c>
      <c r="F895" t="s">
        <v>90</v>
      </c>
      <c r="G895" t="s">
        <v>73</v>
      </c>
      <c r="H895" t="s">
        <v>74</v>
      </c>
      <c r="I895" t="s">
        <v>75</v>
      </c>
      <c r="J895">
        <v>2</v>
      </c>
      <c r="K895">
        <v>420</v>
      </c>
      <c r="L895" t="s">
        <v>9</v>
      </c>
      <c r="M895" t="s">
        <v>80</v>
      </c>
      <c r="N895">
        <f t="shared" si="13"/>
        <v>840</v>
      </c>
    </row>
    <row r="896" spans="1:14" x14ac:dyDescent="0.3">
      <c r="A896" t="s">
        <v>1211</v>
      </c>
      <c r="B896" s="4">
        <v>46177</v>
      </c>
      <c r="C896" t="s">
        <v>117</v>
      </c>
      <c r="D896" t="s">
        <v>118</v>
      </c>
      <c r="E896" t="s">
        <v>19</v>
      </c>
      <c r="F896" t="s">
        <v>48</v>
      </c>
      <c r="G896" t="s">
        <v>183</v>
      </c>
      <c r="H896" t="s">
        <v>184</v>
      </c>
      <c r="I896" t="s">
        <v>111</v>
      </c>
      <c r="J896">
        <v>1</v>
      </c>
      <c r="K896">
        <v>189</v>
      </c>
      <c r="L896" t="s">
        <v>4</v>
      </c>
      <c r="M896" t="s">
        <v>80</v>
      </c>
      <c r="N896">
        <f t="shared" si="13"/>
        <v>189</v>
      </c>
    </row>
    <row r="897" spans="1:14" x14ac:dyDescent="0.3">
      <c r="A897" t="s">
        <v>1212</v>
      </c>
      <c r="B897" s="4">
        <v>46047</v>
      </c>
      <c r="C897" t="s">
        <v>215</v>
      </c>
      <c r="D897" t="s">
        <v>12</v>
      </c>
      <c r="E897" t="s">
        <v>10</v>
      </c>
      <c r="F897" t="s">
        <v>72</v>
      </c>
      <c r="G897" t="s">
        <v>163</v>
      </c>
      <c r="H897" t="s">
        <v>164</v>
      </c>
      <c r="I897" t="s">
        <v>111</v>
      </c>
      <c r="J897">
        <v>1</v>
      </c>
      <c r="K897">
        <v>240</v>
      </c>
      <c r="L897" t="s">
        <v>17</v>
      </c>
      <c r="M897" t="s">
        <v>58</v>
      </c>
      <c r="N897">
        <f t="shared" si="13"/>
        <v>240</v>
      </c>
    </row>
    <row r="898" spans="1:14" x14ac:dyDescent="0.3">
      <c r="A898" t="s">
        <v>1213</v>
      </c>
      <c r="B898" s="4">
        <v>46193</v>
      </c>
      <c r="C898" t="s">
        <v>143</v>
      </c>
      <c r="D898" t="s">
        <v>144</v>
      </c>
      <c r="E898" t="s">
        <v>15</v>
      </c>
      <c r="F898" t="s">
        <v>48</v>
      </c>
      <c r="G898" t="s">
        <v>208</v>
      </c>
      <c r="H898" t="s">
        <v>22</v>
      </c>
      <c r="I898" t="s">
        <v>68</v>
      </c>
      <c r="J898">
        <v>1</v>
      </c>
      <c r="K898">
        <v>2310</v>
      </c>
      <c r="L898" t="s">
        <v>7</v>
      </c>
      <c r="M898" t="s">
        <v>105</v>
      </c>
      <c r="N898">
        <f t="shared" si="13"/>
        <v>2310</v>
      </c>
    </row>
    <row r="899" spans="1:14" x14ac:dyDescent="0.3">
      <c r="A899" t="s">
        <v>1214</v>
      </c>
      <c r="B899" s="4">
        <v>46074</v>
      </c>
      <c r="C899" t="s">
        <v>210</v>
      </c>
      <c r="D899" t="s">
        <v>211</v>
      </c>
      <c r="E899" t="s">
        <v>19</v>
      </c>
      <c r="F899" t="s">
        <v>48</v>
      </c>
      <c r="G899" t="s">
        <v>73</v>
      </c>
      <c r="H899" t="s">
        <v>74</v>
      </c>
      <c r="I899" t="s">
        <v>75</v>
      </c>
      <c r="J899">
        <v>1</v>
      </c>
      <c r="K899">
        <v>420</v>
      </c>
      <c r="L899" t="s">
        <v>7</v>
      </c>
      <c r="M899" t="s">
        <v>80</v>
      </c>
      <c r="N899">
        <f t="shared" ref="N899:N962" si="14">J899*K899</f>
        <v>420</v>
      </c>
    </row>
    <row r="900" spans="1:14" x14ac:dyDescent="0.3">
      <c r="A900" t="s">
        <v>1215</v>
      </c>
      <c r="B900" s="4">
        <v>46207</v>
      </c>
      <c r="C900" t="s">
        <v>273</v>
      </c>
      <c r="D900" t="s">
        <v>274</v>
      </c>
      <c r="E900" t="s">
        <v>1</v>
      </c>
      <c r="F900" t="s">
        <v>72</v>
      </c>
      <c r="G900" t="s">
        <v>95</v>
      </c>
      <c r="H900" t="s">
        <v>96</v>
      </c>
      <c r="I900" t="s">
        <v>75</v>
      </c>
      <c r="J900">
        <v>10</v>
      </c>
      <c r="K900">
        <v>650</v>
      </c>
      <c r="L900" t="s">
        <v>14</v>
      </c>
      <c r="M900" t="s">
        <v>58</v>
      </c>
      <c r="N900">
        <f t="shared" si="14"/>
        <v>6500</v>
      </c>
    </row>
    <row r="901" spans="1:14" x14ac:dyDescent="0.3">
      <c r="A901" t="s">
        <v>1216</v>
      </c>
      <c r="B901" s="4">
        <v>46127</v>
      </c>
      <c r="C901" t="s">
        <v>210</v>
      </c>
      <c r="D901" t="s">
        <v>211</v>
      </c>
      <c r="E901" t="s">
        <v>19</v>
      </c>
      <c r="F901" t="s">
        <v>48</v>
      </c>
      <c r="G901" t="s">
        <v>84</v>
      </c>
      <c r="H901" t="s">
        <v>85</v>
      </c>
      <c r="I901" t="s">
        <v>51</v>
      </c>
      <c r="J901">
        <v>5</v>
      </c>
      <c r="K901">
        <v>760</v>
      </c>
      <c r="L901" t="s">
        <v>14</v>
      </c>
      <c r="M901" t="s">
        <v>80</v>
      </c>
      <c r="N901">
        <f t="shared" si="14"/>
        <v>3800</v>
      </c>
    </row>
    <row r="902" spans="1:14" x14ac:dyDescent="0.3">
      <c r="A902" t="s">
        <v>1217</v>
      </c>
      <c r="B902" s="4">
        <v>46037</v>
      </c>
      <c r="C902" t="s">
        <v>323</v>
      </c>
      <c r="D902" t="s">
        <v>324</v>
      </c>
      <c r="E902" t="s">
        <v>15</v>
      </c>
      <c r="F902" t="s">
        <v>72</v>
      </c>
      <c r="G902" t="s">
        <v>49</v>
      </c>
      <c r="H902" t="s">
        <v>50</v>
      </c>
      <c r="I902" t="s">
        <v>51</v>
      </c>
      <c r="J902">
        <v>1</v>
      </c>
      <c r="K902">
        <v>99.75</v>
      </c>
      <c r="L902" t="s">
        <v>7</v>
      </c>
      <c r="M902" t="s">
        <v>58</v>
      </c>
      <c r="N902">
        <f t="shared" si="14"/>
        <v>99.75</v>
      </c>
    </row>
    <row r="903" spans="1:14" x14ac:dyDescent="0.3">
      <c r="A903" t="s">
        <v>1218</v>
      </c>
      <c r="B903" s="4">
        <v>46245</v>
      </c>
      <c r="C903" t="s">
        <v>295</v>
      </c>
      <c r="D903" t="s">
        <v>296</v>
      </c>
      <c r="E903" t="s">
        <v>19</v>
      </c>
      <c r="F903" t="s">
        <v>72</v>
      </c>
      <c r="G903" t="s">
        <v>239</v>
      </c>
      <c r="H903" t="s">
        <v>240</v>
      </c>
      <c r="I903" t="s">
        <v>63</v>
      </c>
      <c r="J903">
        <v>1</v>
      </c>
      <c r="K903">
        <v>720</v>
      </c>
      <c r="L903" t="s">
        <v>2</v>
      </c>
      <c r="M903" t="s">
        <v>105</v>
      </c>
      <c r="N903">
        <f t="shared" si="14"/>
        <v>720</v>
      </c>
    </row>
    <row r="904" spans="1:14" x14ac:dyDescent="0.3">
      <c r="A904" t="s">
        <v>1219</v>
      </c>
      <c r="B904" s="4">
        <v>46206</v>
      </c>
      <c r="C904" t="s">
        <v>310</v>
      </c>
      <c r="D904" t="s">
        <v>311</v>
      </c>
      <c r="E904" t="s">
        <v>19</v>
      </c>
      <c r="F904" t="s">
        <v>72</v>
      </c>
      <c r="G904" t="s">
        <v>61</v>
      </c>
      <c r="H904" t="s">
        <v>62</v>
      </c>
      <c r="I904" t="s">
        <v>63</v>
      </c>
      <c r="J904">
        <v>2</v>
      </c>
      <c r="K904">
        <v>110</v>
      </c>
      <c r="L904" t="s">
        <v>4</v>
      </c>
      <c r="M904" t="s">
        <v>52</v>
      </c>
      <c r="N904">
        <f t="shared" si="14"/>
        <v>220</v>
      </c>
    </row>
    <row r="905" spans="1:14" x14ac:dyDescent="0.3">
      <c r="A905" t="s">
        <v>1220</v>
      </c>
      <c r="B905" s="4">
        <v>46145</v>
      </c>
      <c r="C905" t="s">
        <v>77</v>
      </c>
      <c r="D905" t="s">
        <v>78</v>
      </c>
      <c r="E905" t="s">
        <v>6</v>
      </c>
      <c r="F905" t="s">
        <v>72</v>
      </c>
      <c r="G905" t="s">
        <v>123</v>
      </c>
      <c r="H905" t="s">
        <v>124</v>
      </c>
      <c r="I905" t="s">
        <v>111</v>
      </c>
      <c r="J905">
        <v>1</v>
      </c>
      <c r="K905">
        <v>168</v>
      </c>
      <c r="L905" t="s">
        <v>4</v>
      </c>
      <c r="M905" t="s">
        <v>80</v>
      </c>
      <c r="N905">
        <f t="shared" si="14"/>
        <v>168</v>
      </c>
    </row>
    <row r="906" spans="1:14" x14ac:dyDescent="0.3">
      <c r="A906" t="s">
        <v>1221</v>
      </c>
      <c r="B906" s="4">
        <v>46063</v>
      </c>
      <c r="C906" t="s">
        <v>149</v>
      </c>
      <c r="D906" t="s">
        <v>1222</v>
      </c>
      <c r="E906" t="s">
        <v>6</v>
      </c>
      <c r="F906" t="s">
        <v>72</v>
      </c>
      <c r="G906" t="s">
        <v>95</v>
      </c>
      <c r="H906" t="s">
        <v>96</v>
      </c>
      <c r="I906" t="s">
        <v>75</v>
      </c>
      <c r="J906">
        <v>1</v>
      </c>
      <c r="K906">
        <v>650</v>
      </c>
      <c r="L906" t="s">
        <v>9</v>
      </c>
      <c r="M906" t="s">
        <v>58</v>
      </c>
      <c r="N906">
        <f t="shared" si="14"/>
        <v>650</v>
      </c>
    </row>
    <row r="907" spans="1:14" x14ac:dyDescent="0.3">
      <c r="A907" t="s">
        <v>1223</v>
      </c>
      <c r="B907" s="4">
        <v>46060</v>
      </c>
      <c r="C907" t="s">
        <v>260</v>
      </c>
      <c r="D907" t="s">
        <v>261</v>
      </c>
      <c r="E907" t="s">
        <v>1</v>
      </c>
      <c r="F907" t="s">
        <v>48</v>
      </c>
      <c r="G907" t="s">
        <v>136</v>
      </c>
      <c r="H907" t="s">
        <v>137</v>
      </c>
      <c r="I907" t="s">
        <v>111</v>
      </c>
      <c r="J907">
        <v>3</v>
      </c>
      <c r="K907">
        <v>85</v>
      </c>
      <c r="L907" t="s">
        <v>2</v>
      </c>
      <c r="M907" t="s">
        <v>105</v>
      </c>
      <c r="N907">
        <f t="shared" si="14"/>
        <v>255</v>
      </c>
    </row>
    <row r="908" spans="1:14" x14ac:dyDescent="0.3">
      <c r="A908" t="s">
        <v>1224</v>
      </c>
      <c r="B908" s="4">
        <v>46059</v>
      </c>
      <c r="C908" t="s">
        <v>140</v>
      </c>
      <c r="D908" t="s">
        <v>141</v>
      </c>
      <c r="E908" t="s">
        <v>1</v>
      </c>
      <c r="F908" t="s">
        <v>48</v>
      </c>
      <c r="G908" t="s">
        <v>183</v>
      </c>
      <c r="H908" t="s">
        <v>184</v>
      </c>
      <c r="I908" t="s">
        <v>111</v>
      </c>
      <c r="J908">
        <v>3</v>
      </c>
      <c r="K908">
        <v>180</v>
      </c>
      <c r="L908" t="s">
        <v>4</v>
      </c>
      <c r="M908" t="s">
        <v>105</v>
      </c>
      <c r="N908">
        <f t="shared" si="14"/>
        <v>540</v>
      </c>
    </row>
    <row r="909" spans="1:14" x14ac:dyDescent="0.3">
      <c r="A909" t="s">
        <v>1225</v>
      </c>
      <c r="B909" s="4">
        <v>46140</v>
      </c>
      <c r="C909" t="s">
        <v>950</v>
      </c>
      <c r="D909" t="s">
        <v>951</v>
      </c>
      <c r="E909" t="s">
        <v>15</v>
      </c>
      <c r="F909" t="s">
        <v>72</v>
      </c>
      <c r="G909" t="s">
        <v>123</v>
      </c>
      <c r="H909" t="s">
        <v>124</v>
      </c>
      <c r="I909" t="s">
        <v>111</v>
      </c>
      <c r="J909">
        <v>2</v>
      </c>
      <c r="K909">
        <v>168</v>
      </c>
      <c r="L909" t="s">
        <v>4</v>
      </c>
      <c r="M909" t="s">
        <v>105</v>
      </c>
      <c r="N909">
        <f t="shared" si="14"/>
        <v>336</v>
      </c>
    </row>
    <row r="910" spans="1:14" x14ac:dyDescent="0.3">
      <c r="A910" t="s">
        <v>1226</v>
      </c>
      <c r="B910" s="4">
        <v>46071</v>
      </c>
      <c r="C910" t="s">
        <v>433</v>
      </c>
      <c r="D910" t="s">
        <v>130</v>
      </c>
      <c r="E910" t="s">
        <v>10</v>
      </c>
      <c r="F910" t="s">
        <v>48</v>
      </c>
      <c r="G910" t="s">
        <v>56</v>
      </c>
      <c r="H910" t="s">
        <v>3</v>
      </c>
      <c r="I910" t="s">
        <v>57</v>
      </c>
      <c r="J910">
        <v>2</v>
      </c>
      <c r="K910">
        <v>7790</v>
      </c>
      <c r="L910" t="s">
        <v>17</v>
      </c>
      <c r="M910" t="s">
        <v>105</v>
      </c>
      <c r="N910">
        <f t="shared" si="14"/>
        <v>15580</v>
      </c>
    </row>
    <row r="911" spans="1:14" x14ac:dyDescent="0.3">
      <c r="A911" t="s">
        <v>1227</v>
      </c>
      <c r="B911" s="4">
        <v>46206</v>
      </c>
      <c r="C911" t="s">
        <v>198</v>
      </c>
      <c r="D911" t="s">
        <v>199</v>
      </c>
      <c r="E911" t="s">
        <v>6</v>
      </c>
      <c r="F911" t="s">
        <v>72</v>
      </c>
      <c r="G911" t="s">
        <v>56</v>
      </c>
      <c r="H911" t="s">
        <v>3</v>
      </c>
      <c r="I911" t="s">
        <v>57</v>
      </c>
      <c r="J911">
        <v>2</v>
      </c>
      <c r="K911">
        <v>8200</v>
      </c>
      <c r="L911" t="s">
        <v>17</v>
      </c>
      <c r="M911" t="s">
        <v>80</v>
      </c>
      <c r="N911">
        <f t="shared" si="14"/>
        <v>16400</v>
      </c>
    </row>
    <row r="912" spans="1:14" x14ac:dyDescent="0.3">
      <c r="A912" t="s">
        <v>1228</v>
      </c>
      <c r="B912" s="4">
        <v>46169</v>
      </c>
      <c r="C912" t="s">
        <v>466</v>
      </c>
      <c r="D912" t="s">
        <v>147</v>
      </c>
      <c r="E912" t="s">
        <v>10</v>
      </c>
      <c r="F912" t="s">
        <v>48</v>
      </c>
      <c r="G912" t="s">
        <v>163</v>
      </c>
      <c r="H912" t="s">
        <v>164</v>
      </c>
      <c r="I912" t="s">
        <v>111</v>
      </c>
      <c r="J912">
        <v>2</v>
      </c>
      <c r="K912">
        <v>240</v>
      </c>
      <c r="L912" t="s">
        <v>14</v>
      </c>
      <c r="M912" t="s">
        <v>105</v>
      </c>
      <c r="N912">
        <f t="shared" si="14"/>
        <v>480</v>
      </c>
    </row>
    <row r="913" spans="1:14" x14ac:dyDescent="0.3">
      <c r="A913" t="s">
        <v>1229</v>
      </c>
      <c r="B913" s="4">
        <v>46060</v>
      </c>
      <c r="C913" t="s">
        <v>873</v>
      </c>
      <c r="D913" t="s">
        <v>5</v>
      </c>
      <c r="E913" t="s">
        <v>15</v>
      </c>
      <c r="F913" t="s">
        <v>90</v>
      </c>
      <c r="G913" t="s">
        <v>183</v>
      </c>
      <c r="H913" t="s">
        <v>184</v>
      </c>
      <c r="I913" t="s">
        <v>111</v>
      </c>
      <c r="J913">
        <v>3</v>
      </c>
      <c r="K913">
        <v>189</v>
      </c>
      <c r="L913" t="s">
        <v>7</v>
      </c>
      <c r="M913" t="s">
        <v>105</v>
      </c>
      <c r="N913">
        <f t="shared" si="14"/>
        <v>567</v>
      </c>
    </row>
    <row r="914" spans="1:14" x14ac:dyDescent="0.3">
      <c r="A914" t="s">
        <v>1230</v>
      </c>
      <c r="B914" s="4">
        <v>46157</v>
      </c>
      <c r="C914" t="s">
        <v>841</v>
      </c>
      <c r="D914" t="s">
        <v>842</v>
      </c>
      <c r="E914" t="s">
        <v>19</v>
      </c>
      <c r="F914" t="s">
        <v>48</v>
      </c>
      <c r="G914" t="s">
        <v>183</v>
      </c>
      <c r="H914" t="s">
        <v>184</v>
      </c>
      <c r="I914" t="s">
        <v>111</v>
      </c>
      <c r="J914">
        <v>5</v>
      </c>
      <c r="K914">
        <v>171</v>
      </c>
      <c r="L914" t="s">
        <v>9</v>
      </c>
      <c r="M914" t="s">
        <v>105</v>
      </c>
      <c r="N914">
        <f t="shared" si="14"/>
        <v>855</v>
      </c>
    </row>
    <row r="915" spans="1:14" x14ac:dyDescent="0.3">
      <c r="A915" t="s">
        <v>1231</v>
      </c>
      <c r="B915" s="4">
        <v>46199</v>
      </c>
      <c r="C915" t="s">
        <v>310</v>
      </c>
      <c r="D915" t="s">
        <v>311</v>
      </c>
      <c r="E915" t="s">
        <v>19</v>
      </c>
      <c r="F915" t="s">
        <v>72</v>
      </c>
      <c r="G915" t="s">
        <v>183</v>
      </c>
      <c r="H915" t="s">
        <v>184</v>
      </c>
      <c r="I915" t="s">
        <v>111</v>
      </c>
      <c r="J915">
        <v>3</v>
      </c>
      <c r="K915">
        <v>189</v>
      </c>
      <c r="L915" t="s">
        <v>7</v>
      </c>
      <c r="M915" t="s">
        <v>58</v>
      </c>
      <c r="N915">
        <f t="shared" si="14"/>
        <v>567</v>
      </c>
    </row>
    <row r="916" spans="1:14" x14ac:dyDescent="0.3">
      <c r="A916" t="s">
        <v>1232</v>
      </c>
      <c r="B916" s="4">
        <v>46160</v>
      </c>
      <c r="C916" t="s">
        <v>323</v>
      </c>
      <c r="D916" t="s">
        <v>324</v>
      </c>
      <c r="E916" t="s">
        <v>15</v>
      </c>
      <c r="F916" t="s">
        <v>72</v>
      </c>
      <c r="G916" t="s">
        <v>61</v>
      </c>
      <c r="H916" t="s">
        <v>62</v>
      </c>
      <c r="I916" t="s">
        <v>63</v>
      </c>
      <c r="J916">
        <v>4</v>
      </c>
      <c r="K916">
        <v>110</v>
      </c>
      <c r="L916" t="s">
        <v>4</v>
      </c>
      <c r="M916" t="s">
        <v>105</v>
      </c>
      <c r="N916">
        <f t="shared" si="14"/>
        <v>440</v>
      </c>
    </row>
    <row r="917" spans="1:14" x14ac:dyDescent="0.3">
      <c r="A917" t="s">
        <v>1233</v>
      </c>
      <c r="B917" s="4">
        <v>46131</v>
      </c>
      <c r="C917" t="s">
        <v>237</v>
      </c>
      <c r="D917" t="s">
        <v>238</v>
      </c>
      <c r="E917" t="s">
        <v>10</v>
      </c>
      <c r="F917" t="s">
        <v>72</v>
      </c>
      <c r="G917" t="s">
        <v>61</v>
      </c>
      <c r="H917" t="s">
        <v>62</v>
      </c>
      <c r="I917" t="s">
        <v>63</v>
      </c>
      <c r="J917">
        <v>2</v>
      </c>
      <c r="K917">
        <v>110</v>
      </c>
      <c r="L917" t="s">
        <v>7</v>
      </c>
      <c r="M917" t="s">
        <v>52</v>
      </c>
      <c r="N917">
        <f t="shared" si="14"/>
        <v>220</v>
      </c>
    </row>
    <row r="918" spans="1:14" x14ac:dyDescent="0.3">
      <c r="A918" t="s">
        <v>1234</v>
      </c>
      <c r="B918" s="4">
        <v>46210</v>
      </c>
      <c r="C918" t="s">
        <v>466</v>
      </c>
      <c r="D918" t="s">
        <v>147</v>
      </c>
      <c r="E918" t="s">
        <v>10</v>
      </c>
      <c r="F918" t="s">
        <v>48</v>
      </c>
      <c r="G918" t="s">
        <v>239</v>
      </c>
      <c r="H918" t="s">
        <v>240</v>
      </c>
      <c r="I918" t="s">
        <v>63</v>
      </c>
      <c r="J918">
        <v>4</v>
      </c>
      <c r="K918">
        <v>720</v>
      </c>
      <c r="L918" t="s">
        <v>14</v>
      </c>
      <c r="M918" t="s">
        <v>105</v>
      </c>
      <c r="N918">
        <f t="shared" si="14"/>
        <v>2880</v>
      </c>
    </row>
    <row r="919" spans="1:14" x14ac:dyDescent="0.3">
      <c r="A919" t="s">
        <v>1235</v>
      </c>
      <c r="B919" s="4">
        <v>46170</v>
      </c>
      <c r="C919" t="s">
        <v>591</v>
      </c>
      <c r="D919" t="s">
        <v>592</v>
      </c>
      <c r="E919" t="s">
        <v>15</v>
      </c>
      <c r="F919" t="s">
        <v>72</v>
      </c>
      <c r="G919" t="s">
        <v>123</v>
      </c>
      <c r="H919" t="s">
        <v>124</v>
      </c>
      <c r="I919" t="s">
        <v>111</v>
      </c>
      <c r="J919">
        <v>1</v>
      </c>
      <c r="K919">
        <v>160</v>
      </c>
      <c r="L919" t="s">
        <v>2</v>
      </c>
      <c r="M919" t="s">
        <v>58</v>
      </c>
      <c r="N919">
        <f t="shared" si="14"/>
        <v>160</v>
      </c>
    </row>
    <row r="920" spans="1:14" x14ac:dyDescent="0.3">
      <c r="A920" t="s">
        <v>1236</v>
      </c>
      <c r="B920" s="4">
        <v>46045</v>
      </c>
      <c r="C920" t="s">
        <v>399</v>
      </c>
      <c r="D920" t="s">
        <v>400</v>
      </c>
      <c r="E920" t="s">
        <v>6</v>
      </c>
      <c r="F920" t="s">
        <v>72</v>
      </c>
      <c r="G920" t="s">
        <v>205</v>
      </c>
      <c r="H920" t="s">
        <v>206</v>
      </c>
      <c r="I920" t="s">
        <v>51</v>
      </c>
      <c r="J920">
        <v>1</v>
      </c>
      <c r="K920">
        <v>560.5</v>
      </c>
      <c r="L920" t="s">
        <v>7</v>
      </c>
      <c r="M920" t="s">
        <v>80</v>
      </c>
      <c r="N920">
        <f t="shared" si="14"/>
        <v>560.5</v>
      </c>
    </row>
    <row r="921" spans="1:14" x14ac:dyDescent="0.3">
      <c r="A921" t="s">
        <v>1237</v>
      </c>
      <c r="B921" s="4">
        <v>46094</v>
      </c>
      <c r="C921" t="s">
        <v>373</v>
      </c>
      <c r="D921" t="s">
        <v>264</v>
      </c>
      <c r="E921" t="s">
        <v>15</v>
      </c>
      <c r="F921" t="s">
        <v>48</v>
      </c>
      <c r="G921" t="s">
        <v>91</v>
      </c>
      <c r="H921" t="s">
        <v>13</v>
      </c>
      <c r="I921" t="s">
        <v>57</v>
      </c>
      <c r="J921">
        <v>5</v>
      </c>
      <c r="K921">
        <v>2945</v>
      </c>
      <c r="L921" t="s">
        <v>2</v>
      </c>
      <c r="M921" t="s">
        <v>58</v>
      </c>
      <c r="N921">
        <f t="shared" si="14"/>
        <v>14725</v>
      </c>
    </row>
    <row r="922" spans="1:14" x14ac:dyDescent="0.3">
      <c r="A922" t="s">
        <v>1238</v>
      </c>
      <c r="B922" s="4">
        <v>46256</v>
      </c>
      <c r="C922" t="s">
        <v>267</v>
      </c>
      <c r="D922" t="s">
        <v>268</v>
      </c>
      <c r="E922" t="s">
        <v>19</v>
      </c>
      <c r="F922" t="s">
        <v>72</v>
      </c>
      <c r="G922" t="s">
        <v>123</v>
      </c>
      <c r="H922" t="s">
        <v>124</v>
      </c>
      <c r="I922" t="s">
        <v>111</v>
      </c>
      <c r="J922">
        <v>3</v>
      </c>
      <c r="K922">
        <v>160</v>
      </c>
      <c r="L922" t="s">
        <v>2</v>
      </c>
      <c r="M922" t="s">
        <v>105</v>
      </c>
      <c r="N922">
        <f t="shared" si="14"/>
        <v>480</v>
      </c>
    </row>
    <row r="923" spans="1:14" x14ac:dyDescent="0.3">
      <c r="A923" t="s">
        <v>1239</v>
      </c>
      <c r="B923" s="4">
        <v>46090</v>
      </c>
      <c r="C923" t="s">
        <v>357</v>
      </c>
      <c r="D923" t="s">
        <v>677</v>
      </c>
      <c r="E923" t="s">
        <v>15</v>
      </c>
      <c r="F923" t="s">
        <v>90</v>
      </c>
      <c r="G923" t="s">
        <v>123</v>
      </c>
      <c r="H923" t="s">
        <v>124</v>
      </c>
      <c r="I923" t="s">
        <v>111</v>
      </c>
      <c r="J923">
        <v>4</v>
      </c>
      <c r="K923">
        <v>160</v>
      </c>
      <c r="L923" t="s">
        <v>4</v>
      </c>
      <c r="M923" t="s">
        <v>52</v>
      </c>
      <c r="N923">
        <f t="shared" si="14"/>
        <v>640</v>
      </c>
    </row>
    <row r="924" spans="1:14" x14ac:dyDescent="0.3">
      <c r="A924" t="s">
        <v>1240</v>
      </c>
      <c r="B924" s="4">
        <v>46244</v>
      </c>
      <c r="C924" t="s">
        <v>344</v>
      </c>
      <c r="D924" t="s">
        <v>345</v>
      </c>
      <c r="E924" t="s">
        <v>6</v>
      </c>
      <c r="F924" t="s">
        <v>90</v>
      </c>
      <c r="G924" t="s">
        <v>84</v>
      </c>
      <c r="H924" t="s">
        <v>85</v>
      </c>
      <c r="I924" t="s">
        <v>51</v>
      </c>
      <c r="J924">
        <v>1</v>
      </c>
      <c r="K924">
        <v>722</v>
      </c>
      <c r="L924" t="s">
        <v>9</v>
      </c>
      <c r="M924" t="s">
        <v>52</v>
      </c>
      <c r="N924">
        <f t="shared" si="14"/>
        <v>722</v>
      </c>
    </row>
    <row r="925" spans="1:14" x14ac:dyDescent="0.3">
      <c r="A925" t="s">
        <v>1241</v>
      </c>
      <c r="B925" s="4">
        <v>46216</v>
      </c>
      <c r="C925" t="s">
        <v>149</v>
      </c>
      <c r="D925" t="s">
        <v>150</v>
      </c>
      <c r="E925" t="s">
        <v>6</v>
      </c>
      <c r="F925" t="s">
        <v>72</v>
      </c>
      <c r="G925" t="s">
        <v>205</v>
      </c>
      <c r="H925" t="s">
        <v>206</v>
      </c>
      <c r="I925" t="s">
        <v>51</v>
      </c>
      <c r="J925">
        <v>10</v>
      </c>
      <c r="K925">
        <v>590</v>
      </c>
      <c r="L925" t="s">
        <v>9</v>
      </c>
      <c r="M925" t="s">
        <v>105</v>
      </c>
      <c r="N925">
        <f t="shared" si="14"/>
        <v>5900</v>
      </c>
    </row>
    <row r="926" spans="1:14" x14ac:dyDescent="0.3">
      <c r="A926" t="s">
        <v>1242</v>
      </c>
      <c r="B926" s="4">
        <v>46077</v>
      </c>
      <c r="C926" t="s">
        <v>218</v>
      </c>
      <c r="D926" t="s">
        <v>219</v>
      </c>
      <c r="E926" t="s">
        <v>18</v>
      </c>
      <c r="F926" t="s">
        <v>72</v>
      </c>
      <c r="G926" t="s">
        <v>123</v>
      </c>
      <c r="H926" t="s">
        <v>124</v>
      </c>
      <c r="I926" t="s">
        <v>111</v>
      </c>
      <c r="J926">
        <v>2</v>
      </c>
      <c r="K926">
        <v>160</v>
      </c>
      <c r="L926" t="s">
        <v>14</v>
      </c>
      <c r="M926" t="s">
        <v>80</v>
      </c>
      <c r="N926">
        <f t="shared" si="14"/>
        <v>320</v>
      </c>
    </row>
    <row r="927" spans="1:14" x14ac:dyDescent="0.3">
      <c r="A927" t="s">
        <v>1243</v>
      </c>
      <c r="B927" s="4">
        <v>46037</v>
      </c>
      <c r="C927" t="s">
        <v>143</v>
      </c>
      <c r="D927" t="s">
        <v>144</v>
      </c>
      <c r="E927" t="s">
        <v>15</v>
      </c>
      <c r="F927" t="s">
        <v>48</v>
      </c>
      <c r="G927" t="s">
        <v>67</v>
      </c>
      <c r="H927" t="s">
        <v>8</v>
      </c>
      <c r="I927" t="s">
        <v>68</v>
      </c>
      <c r="J927">
        <v>1</v>
      </c>
      <c r="K927">
        <v>1450</v>
      </c>
      <c r="L927" t="s">
        <v>4</v>
      </c>
      <c r="M927" t="s">
        <v>80</v>
      </c>
      <c r="N927">
        <f t="shared" si="14"/>
        <v>1450</v>
      </c>
    </row>
    <row r="928" spans="1:14" x14ac:dyDescent="0.3">
      <c r="A928" t="s">
        <v>1244</v>
      </c>
      <c r="B928" s="4">
        <v>46083</v>
      </c>
      <c r="C928" t="s">
        <v>741</v>
      </c>
      <c r="D928" t="s">
        <v>159</v>
      </c>
      <c r="E928" t="s">
        <v>10</v>
      </c>
      <c r="F928" t="s">
        <v>48</v>
      </c>
      <c r="G928" t="s">
        <v>49</v>
      </c>
      <c r="H928" t="s">
        <v>50</v>
      </c>
      <c r="I928" t="s">
        <v>51</v>
      </c>
      <c r="J928">
        <v>2</v>
      </c>
      <c r="K928">
        <v>95</v>
      </c>
      <c r="L928" t="s">
        <v>4</v>
      </c>
      <c r="M928" t="s">
        <v>80</v>
      </c>
      <c r="N928">
        <f t="shared" si="14"/>
        <v>190</v>
      </c>
    </row>
    <row r="929" spans="1:14" x14ac:dyDescent="0.3">
      <c r="A929" t="s">
        <v>1245</v>
      </c>
      <c r="B929" s="4">
        <v>46246</v>
      </c>
      <c r="C929" t="s">
        <v>134</v>
      </c>
      <c r="D929" t="s">
        <v>135</v>
      </c>
      <c r="E929" t="s">
        <v>15</v>
      </c>
      <c r="F929" t="s">
        <v>72</v>
      </c>
      <c r="G929" t="s">
        <v>84</v>
      </c>
      <c r="H929" t="s">
        <v>85</v>
      </c>
      <c r="I929" t="s">
        <v>51</v>
      </c>
      <c r="J929">
        <v>2</v>
      </c>
      <c r="K929">
        <v>760</v>
      </c>
      <c r="L929" t="s">
        <v>4</v>
      </c>
      <c r="M929" t="s">
        <v>105</v>
      </c>
      <c r="N929">
        <f t="shared" si="14"/>
        <v>1520</v>
      </c>
    </row>
    <row r="930" spans="1:14" x14ac:dyDescent="0.3">
      <c r="A930" t="s">
        <v>1246</v>
      </c>
      <c r="B930" s="4">
        <v>46159</v>
      </c>
      <c r="C930" t="s">
        <v>589</v>
      </c>
      <c r="D930" t="s">
        <v>358</v>
      </c>
      <c r="E930" t="s">
        <v>18</v>
      </c>
      <c r="F930" t="s">
        <v>48</v>
      </c>
      <c r="G930" t="s">
        <v>61</v>
      </c>
      <c r="H930" t="s">
        <v>62</v>
      </c>
      <c r="I930" t="s">
        <v>63</v>
      </c>
      <c r="J930">
        <v>3</v>
      </c>
      <c r="K930">
        <v>104.5</v>
      </c>
      <c r="L930" t="s">
        <v>14</v>
      </c>
      <c r="M930" t="s">
        <v>80</v>
      </c>
      <c r="N930">
        <f t="shared" si="14"/>
        <v>313.5</v>
      </c>
    </row>
    <row r="931" spans="1:14" x14ac:dyDescent="0.3">
      <c r="A931" t="s">
        <v>1247</v>
      </c>
      <c r="B931" s="4">
        <v>46180</v>
      </c>
      <c r="C931" t="s">
        <v>198</v>
      </c>
      <c r="D931" t="s">
        <v>199</v>
      </c>
      <c r="E931" t="s">
        <v>6</v>
      </c>
      <c r="F931" t="s">
        <v>72</v>
      </c>
      <c r="G931" t="s">
        <v>95</v>
      </c>
      <c r="H931" t="s">
        <v>96</v>
      </c>
      <c r="I931" t="s">
        <v>75</v>
      </c>
      <c r="J931">
        <v>6</v>
      </c>
      <c r="K931">
        <v>650</v>
      </c>
      <c r="L931" t="s">
        <v>7</v>
      </c>
      <c r="M931" t="s">
        <v>80</v>
      </c>
      <c r="N931">
        <f t="shared" si="14"/>
        <v>3900</v>
      </c>
    </row>
    <row r="932" spans="1:14" x14ac:dyDescent="0.3">
      <c r="A932" t="s">
        <v>1248</v>
      </c>
      <c r="B932" s="4">
        <v>46089</v>
      </c>
      <c r="C932" t="s">
        <v>411</v>
      </c>
      <c r="D932" t="s">
        <v>324</v>
      </c>
      <c r="E932" t="s">
        <v>19</v>
      </c>
      <c r="F932" t="s">
        <v>48</v>
      </c>
      <c r="G932" t="s">
        <v>67</v>
      </c>
      <c r="H932" t="s">
        <v>8</v>
      </c>
      <c r="I932" t="s">
        <v>68</v>
      </c>
      <c r="J932">
        <v>3</v>
      </c>
      <c r="K932">
        <v>1450</v>
      </c>
      <c r="L932" t="s">
        <v>4</v>
      </c>
      <c r="M932" t="s">
        <v>52</v>
      </c>
      <c r="N932">
        <f t="shared" si="14"/>
        <v>4350</v>
      </c>
    </row>
    <row r="933" spans="1:14" x14ac:dyDescent="0.3">
      <c r="A933" t="s">
        <v>1249</v>
      </c>
      <c r="B933" s="4">
        <v>46157</v>
      </c>
      <c r="C933" t="s">
        <v>339</v>
      </c>
      <c r="D933" t="s">
        <v>340</v>
      </c>
      <c r="E933" t="s">
        <v>6</v>
      </c>
      <c r="F933" t="s">
        <v>90</v>
      </c>
      <c r="G933" t="s">
        <v>79</v>
      </c>
      <c r="H933" t="s">
        <v>11</v>
      </c>
      <c r="I933" t="s">
        <v>57</v>
      </c>
      <c r="J933">
        <v>1</v>
      </c>
      <c r="K933">
        <v>5200</v>
      </c>
      <c r="L933" t="s">
        <v>7</v>
      </c>
      <c r="M933" t="s">
        <v>58</v>
      </c>
      <c r="N933">
        <f t="shared" si="14"/>
        <v>5200</v>
      </c>
    </row>
    <row r="934" spans="1:14" x14ac:dyDescent="0.3">
      <c r="A934" t="s">
        <v>1250</v>
      </c>
      <c r="B934" s="4">
        <v>46236</v>
      </c>
      <c r="C934" t="s">
        <v>589</v>
      </c>
      <c r="D934" t="s">
        <v>358</v>
      </c>
      <c r="E934" t="s">
        <v>18</v>
      </c>
      <c r="F934" t="s">
        <v>48</v>
      </c>
      <c r="G934" t="s">
        <v>136</v>
      </c>
      <c r="H934" t="s">
        <v>137</v>
      </c>
      <c r="I934" t="s">
        <v>111</v>
      </c>
      <c r="J934">
        <v>1</v>
      </c>
      <c r="K934">
        <v>85</v>
      </c>
      <c r="L934" t="s">
        <v>14</v>
      </c>
      <c r="M934" t="s">
        <v>58</v>
      </c>
      <c r="N934">
        <f t="shared" si="14"/>
        <v>85</v>
      </c>
    </row>
    <row r="935" spans="1:14" x14ac:dyDescent="0.3">
      <c r="A935" t="s">
        <v>1251</v>
      </c>
      <c r="B935" s="4">
        <v>46113</v>
      </c>
      <c r="C935" t="s">
        <v>394</v>
      </c>
      <c r="D935" t="s">
        <v>395</v>
      </c>
      <c r="E935" t="s">
        <v>15</v>
      </c>
      <c r="F935" t="s">
        <v>48</v>
      </c>
      <c r="G935" t="s">
        <v>73</v>
      </c>
      <c r="H935" t="s">
        <v>74</v>
      </c>
      <c r="I935" t="s">
        <v>75</v>
      </c>
      <c r="J935">
        <v>1</v>
      </c>
      <c r="K935">
        <v>420</v>
      </c>
      <c r="L935" t="s">
        <v>7</v>
      </c>
      <c r="M935" t="s">
        <v>52</v>
      </c>
      <c r="N935">
        <f t="shared" si="14"/>
        <v>420</v>
      </c>
    </row>
    <row r="936" spans="1:14" x14ac:dyDescent="0.3">
      <c r="A936" t="s">
        <v>1252</v>
      </c>
      <c r="B936" s="4">
        <v>46182</v>
      </c>
      <c r="C936" t="s">
        <v>466</v>
      </c>
      <c r="D936" t="s">
        <v>147</v>
      </c>
      <c r="E936" t="s">
        <v>10</v>
      </c>
      <c r="F936" t="s">
        <v>48</v>
      </c>
      <c r="G936" t="s">
        <v>136</v>
      </c>
      <c r="H936" t="s">
        <v>137</v>
      </c>
      <c r="I936" t="s">
        <v>111</v>
      </c>
      <c r="J936">
        <v>1</v>
      </c>
      <c r="K936">
        <v>89.25</v>
      </c>
      <c r="L936" t="s">
        <v>2</v>
      </c>
      <c r="M936" t="s">
        <v>52</v>
      </c>
      <c r="N936">
        <f t="shared" si="14"/>
        <v>89.25</v>
      </c>
    </row>
    <row r="937" spans="1:14" x14ac:dyDescent="0.3">
      <c r="A937" t="s">
        <v>1253</v>
      </c>
      <c r="B937" s="4">
        <v>46205</v>
      </c>
      <c r="C937" t="s">
        <v>93</v>
      </c>
      <c r="D937" t="s">
        <v>94</v>
      </c>
      <c r="E937" t="s">
        <v>15</v>
      </c>
      <c r="F937" t="s">
        <v>48</v>
      </c>
      <c r="G937" t="s">
        <v>67</v>
      </c>
      <c r="H937" t="s">
        <v>8</v>
      </c>
      <c r="I937" t="s">
        <v>68</v>
      </c>
      <c r="J937">
        <v>8</v>
      </c>
      <c r="K937">
        <v>1377.5</v>
      </c>
      <c r="L937" t="s">
        <v>17</v>
      </c>
      <c r="M937" t="s">
        <v>52</v>
      </c>
      <c r="N937">
        <f t="shared" si="14"/>
        <v>11020</v>
      </c>
    </row>
    <row r="938" spans="1:14" x14ac:dyDescent="0.3">
      <c r="A938" t="s">
        <v>1254</v>
      </c>
      <c r="B938" s="4">
        <v>46253</v>
      </c>
      <c r="C938" t="s">
        <v>328</v>
      </c>
      <c r="D938" t="s">
        <v>329</v>
      </c>
      <c r="E938" t="s">
        <v>15</v>
      </c>
      <c r="F938" t="s">
        <v>48</v>
      </c>
      <c r="G938" t="s">
        <v>123</v>
      </c>
      <c r="H938" t="s">
        <v>124</v>
      </c>
      <c r="I938" t="s">
        <v>111</v>
      </c>
      <c r="J938">
        <v>1</v>
      </c>
      <c r="K938">
        <v>160</v>
      </c>
      <c r="L938" t="s">
        <v>7</v>
      </c>
      <c r="M938" t="s">
        <v>80</v>
      </c>
      <c r="N938">
        <f t="shared" si="14"/>
        <v>160</v>
      </c>
    </row>
    <row r="939" spans="1:14" x14ac:dyDescent="0.3">
      <c r="A939" t="s">
        <v>1255</v>
      </c>
      <c r="B939" s="4">
        <v>46187</v>
      </c>
      <c r="C939" t="s">
        <v>288</v>
      </c>
      <c r="D939" t="s">
        <v>289</v>
      </c>
      <c r="E939" t="s">
        <v>18</v>
      </c>
      <c r="F939" t="s">
        <v>90</v>
      </c>
      <c r="G939" t="s">
        <v>183</v>
      </c>
      <c r="H939" t="s">
        <v>184</v>
      </c>
      <c r="I939" t="s">
        <v>111</v>
      </c>
      <c r="J939">
        <v>2</v>
      </c>
      <c r="K939">
        <v>180</v>
      </c>
      <c r="L939" t="s">
        <v>4</v>
      </c>
      <c r="M939" t="s">
        <v>80</v>
      </c>
      <c r="N939">
        <f t="shared" si="14"/>
        <v>360</v>
      </c>
    </row>
    <row r="940" spans="1:14" x14ac:dyDescent="0.3">
      <c r="A940" t="s">
        <v>1256</v>
      </c>
      <c r="B940" s="4">
        <v>46223</v>
      </c>
      <c r="C940" t="s">
        <v>181</v>
      </c>
      <c r="D940" t="s">
        <v>182</v>
      </c>
      <c r="E940" t="s">
        <v>18</v>
      </c>
      <c r="F940" t="s">
        <v>72</v>
      </c>
      <c r="G940" t="s">
        <v>123</v>
      </c>
      <c r="H940" t="s">
        <v>124</v>
      </c>
      <c r="I940" t="s">
        <v>111</v>
      </c>
      <c r="J940">
        <v>1</v>
      </c>
      <c r="K940">
        <v>152</v>
      </c>
      <c r="L940" t="s">
        <v>4</v>
      </c>
      <c r="M940" t="s">
        <v>105</v>
      </c>
      <c r="N940">
        <f t="shared" si="14"/>
        <v>152</v>
      </c>
    </row>
    <row r="941" spans="1:14" x14ac:dyDescent="0.3">
      <c r="A941" t="s">
        <v>1257</v>
      </c>
      <c r="B941" s="4">
        <v>46090</v>
      </c>
      <c r="C941" t="s">
        <v>561</v>
      </c>
      <c r="D941" t="s">
        <v>562</v>
      </c>
      <c r="E941" t="s">
        <v>15</v>
      </c>
      <c r="F941" t="s">
        <v>90</v>
      </c>
      <c r="G941" t="s">
        <v>163</v>
      </c>
      <c r="H941" t="s">
        <v>164</v>
      </c>
      <c r="I941" t="s">
        <v>111</v>
      </c>
      <c r="J941">
        <v>8</v>
      </c>
      <c r="K941">
        <v>240</v>
      </c>
      <c r="L941" t="s">
        <v>9</v>
      </c>
      <c r="M941" t="s">
        <v>105</v>
      </c>
      <c r="N941">
        <f t="shared" si="14"/>
        <v>1920</v>
      </c>
    </row>
    <row r="942" spans="1:14" x14ac:dyDescent="0.3">
      <c r="A942" t="s">
        <v>1258</v>
      </c>
      <c r="B942" s="4">
        <v>46075</v>
      </c>
      <c r="C942" t="s">
        <v>385</v>
      </c>
      <c r="D942" t="s">
        <v>386</v>
      </c>
      <c r="E942" t="s">
        <v>15</v>
      </c>
      <c r="F942" t="s">
        <v>48</v>
      </c>
      <c r="G942" t="s">
        <v>205</v>
      </c>
      <c r="H942" t="s">
        <v>206</v>
      </c>
      <c r="I942" t="s">
        <v>51</v>
      </c>
      <c r="J942">
        <v>3</v>
      </c>
      <c r="K942">
        <v>590</v>
      </c>
      <c r="L942" t="s">
        <v>2</v>
      </c>
      <c r="M942" t="s">
        <v>105</v>
      </c>
      <c r="N942">
        <f t="shared" si="14"/>
        <v>1770</v>
      </c>
    </row>
    <row r="943" spans="1:14" x14ac:dyDescent="0.3">
      <c r="A943" t="s">
        <v>1259</v>
      </c>
      <c r="B943" s="4">
        <v>46162</v>
      </c>
      <c r="C943" t="s">
        <v>667</v>
      </c>
      <c r="D943" t="s">
        <v>668</v>
      </c>
      <c r="E943" t="s">
        <v>15</v>
      </c>
      <c r="F943" t="s">
        <v>72</v>
      </c>
      <c r="G943" t="s">
        <v>208</v>
      </c>
      <c r="H943" t="s">
        <v>22</v>
      </c>
      <c r="I943" t="s">
        <v>68</v>
      </c>
      <c r="J943">
        <v>4</v>
      </c>
      <c r="K943">
        <v>2200</v>
      </c>
      <c r="L943" t="s">
        <v>17</v>
      </c>
      <c r="M943" t="s">
        <v>58</v>
      </c>
      <c r="N943">
        <f t="shared" si="14"/>
        <v>8800</v>
      </c>
    </row>
    <row r="944" spans="1:14" x14ac:dyDescent="0.3">
      <c r="A944" t="s">
        <v>1260</v>
      </c>
      <c r="B944" s="4">
        <v>46207</v>
      </c>
      <c r="C944" t="s">
        <v>174</v>
      </c>
      <c r="D944" t="s">
        <v>175</v>
      </c>
      <c r="E944" t="s">
        <v>10</v>
      </c>
      <c r="F944" t="s">
        <v>72</v>
      </c>
      <c r="G944" t="s">
        <v>73</v>
      </c>
      <c r="H944" t="s">
        <v>74</v>
      </c>
      <c r="I944" t="s">
        <v>75</v>
      </c>
      <c r="J944">
        <v>1</v>
      </c>
      <c r="K944">
        <v>399</v>
      </c>
      <c r="L944" t="s">
        <v>14</v>
      </c>
      <c r="M944" t="s">
        <v>58</v>
      </c>
      <c r="N944">
        <f t="shared" si="14"/>
        <v>399</v>
      </c>
    </row>
    <row r="945" spans="1:14" x14ac:dyDescent="0.3">
      <c r="A945" t="s">
        <v>1261</v>
      </c>
      <c r="B945" s="4">
        <v>46222</v>
      </c>
      <c r="C945" t="s">
        <v>237</v>
      </c>
      <c r="D945" t="s">
        <v>238</v>
      </c>
      <c r="E945" t="s">
        <v>10</v>
      </c>
      <c r="F945" t="s">
        <v>72</v>
      </c>
      <c r="G945" t="s">
        <v>91</v>
      </c>
      <c r="H945" t="s">
        <v>13</v>
      </c>
      <c r="I945" t="s">
        <v>57</v>
      </c>
      <c r="J945">
        <v>2</v>
      </c>
      <c r="K945">
        <v>3100</v>
      </c>
      <c r="L945" t="s">
        <v>9</v>
      </c>
      <c r="M945" t="s">
        <v>58</v>
      </c>
      <c r="N945">
        <f t="shared" si="14"/>
        <v>6200</v>
      </c>
    </row>
    <row r="946" spans="1:14" x14ac:dyDescent="0.3">
      <c r="A946" t="s">
        <v>1262</v>
      </c>
      <c r="B946" s="4">
        <v>46194</v>
      </c>
      <c r="C946" t="s">
        <v>483</v>
      </c>
      <c r="D946" t="s">
        <v>484</v>
      </c>
      <c r="E946" t="s">
        <v>15</v>
      </c>
      <c r="F946" t="s">
        <v>72</v>
      </c>
      <c r="G946" t="s">
        <v>163</v>
      </c>
      <c r="H946" t="s">
        <v>164</v>
      </c>
      <c r="I946" t="s">
        <v>111</v>
      </c>
      <c r="J946">
        <v>2</v>
      </c>
      <c r="K946">
        <v>240</v>
      </c>
      <c r="L946" t="s">
        <v>2</v>
      </c>
      <c r="M946" t="s">
        <v>80</v>
      </c>
      <c r="N946">
        <f t="shared" si="14"/>
        <v>480</v>
      </c>
    </row>
    <row r="947" spans="1:14" x14ac:dyDescent="0.3">
      <c r="A947" t="s">
        <v>1263</v>
      </c>
      <c r="B947" s="4">
        <v>46171</v>
      </c>
      <c r="C947" t="s">
        <v>323</v>
      </c>
      <c r="D947" t="s">
        <v>324</v>
      </c>
      <c r="E947" t="s">
        <v>15</v>
      </c>
      <c r="F947" t="s">
        <v>72</v>
      </c>
      <c r="G947" t="s">
        <v>109</v>
      </c>
      <c r="H947" t="s">
        <v>110</v>
      </c>
      <c r="I947" t="s">
        <v>111</v>
      </c>
      <c r="J947">
        <v>1</v>
      </c>
      <c r="K947">
        <v>320</v>
      </c>
      <c r="L947" t="s">
        <v>4</v>
      </c>
      <c r="M947" t="s">
        <v>105</v>
      </c>
      <c r="N947">
        <f t="shared" si="14"/>
        <v>320</v>
      </c>
    </row>
    <row r="948" spans="1:14" x14ac:dyDescent="0.3">
      <c r="A948" t="s">
        <v>1264</v>
      </c>
      <c r="B948" s="4">
        <v>46162</v>
      </c>
      <c r="C948" t="s">
        <v>117</v>
      </c>
      <c r="D948" t="s">
        <v>118</v>
      </c>
      <c r="E948" t="s">
        <v>19</v>
      </c>
      <c r="F948" t="s">
        <v>48</v>
      </c>
      <c r="G948" t="s">
        <v>183</v>
      </c>
      <c r="H948" t="s">
        <v>184</v>
      </c>
      <c r="I948" t="s">
        <v>111</v>
      </c>
      <c r="J948">
        <v>1</v>
      </c>
      <c r="K948">
        <v>180</v>
      </c>
      <c r="L948" t="s">
        <v>2</v>
      </c>
      <c r="M948" t="s">
        <v>105</v>
      </c>
      <c r="N948">
        <f t="shared" si="14"/>
        <v>180</v>
      </c>
    </row>
    <row r="949" spans="1:14" x14ac:dyDescent="0.3">
      <c r="A949" t="s">
        <v>1265</v>
      </c>
      <c r="B949" s="4">
        <v>46115</v>
      </c>
      <c r="C949" t="s">
        <v>470</v>
      </c>
      <c r="D949" t="s">
        <v>471</v>
      </c>
      <c r="E949" t="s">
        <v>1</v>
      </c>
      <c r="F949" t="s">
        <v>90</v>
      </c>
      <c r="G949" t="s">
        <v>49</v>
      </c>
      <c r="H949" t="s">
        <v>50</v>
      </c>
      <c r="I949" t="s">
        <v>51</v>
      </c>
      <c r="J949">
        <v>1</v>
      </c>
      <c r="K949">
        <v>95</v>
      </c>
      <c r="L949" t="s">
        <v>4</v>
      </c>
      <c r="M949" t="s">
        <v>58</v>
      </c>
      <c r="N949">
        <f t="shared" si="14"/>
        <v>95</v>
      </c>
    </row>
    <row r="950" spans="1:14" x14ac:dyDescent="0.3">
      <c r="A950" t="s">
        <v>1266</v>
      </c>
      <c r="B950" s="4">
        <v>46117</v>
      </c>
      <c r="C950" t="s">
        <v>310</v>
      </c>
      <c r="D950" t="s">
        <v>311</v>
      </c>
      <c r="E950" t="s">
        <v>19</v>
      </c>
      <c r="F950" t="s">
        <v>72</v>
      </c>
      <c r="G950" t="s">
        <v>183</v>
      </c>
      <c r="H950" t="s">
        <v>184</v>
      </c>
      <c r="I950" t="s">
        <v>111</v>
      </c>
      <c r="J950">
        <v>2</v>
      </c>
      <c r="K950">
        <v>180</v>
      </c>
      <c r="L950" t="s">
        <v>14</v>
      </c>
      <c r="M950" t="s">
        <v>105</v>
      </c>
      <c r="N950">
        <f t="shared" si="14"/>
        <v>360</v>
      </c>
    </row>
    <row r="951" spans="1:14" x14ac:dyDescent="0.3">
      <c r="A951" t="s">
        <v>1267</v>
      </c>
      <c r="B951" s="4">
        <v>46189</v>
      </c>
      <c r="C951" t="s">
        <v>270</v>
      </c>
      <c r="D951" t="s">
        <v>271</v>
      </c>
      <c r="E951" t="s">
        <v>18</v>
      </c>
      <c r="F951" t="s">
        <v>48</v>
      </c>
      <c r="G951" t="s">
        <v>239</v>
      </c>
      <c r="H951" t="s">
        <v>240</v>
      </c>
      <c r="I951" t="s">
        <v>63</v>
      </c>
      <c r="J951">
        <v>1</v>
      </c>
      <c r="K951">
        <v>756</v>
      </c>
      <c r="L951" t="s">
        <v>14</v>
      </c>
      <c r="M951" t="s">
        <v>105</v>
      </c>
      <c r="N951">
        <f t="shared" si="14"/>
        <v>756</v>
      </c>
    </row>
    <row r="952" spans="1:14" x14ac:dyDescent="0.3">
      <c r="A952" t="s">
        <v>1268</v>
      </c>
      <c r="B952" s="4">
        <v>46100</v>
      </c>
      <c r="C952" t="s">
        <v>77</v>
      </c>
      <c r="D952" t="s">
        <v>78</v>
      </c>
      <c r="E952" t="s">
        <v>6</v>
      </c>
      <c r="F952" t="s">
        <v>72</v>
      </c>
      <c r="G952" t="s">
        <v>79</v>
      </c>
      <c r="H952" t="s">
        <v>11</v>
      </c>
      <c r="I952" t="s">
        <v>57</v>
      </c>
      <c r="J952">
        <v>3</v>
      </c>
      <c r="K952">
        <v>4940</v>
      </c>
      <c r="L952" t="s">
        <v>2</v>
      </c>
      <c r="M952" t="s">
        <v>80</v>
      </c>
      <c r="N952">
        <f t="shared" si="14"/>
        <v>14820</v>
      </c>
    </row>
    <row r="953" spans="1:14" x14ac:dyDescent="0.3">
      <c r="A953" t="s">
        <v>1269</v>
      </c>
      <c r="B953" s="4">
        <v>46250</v>
      </c>
      <c r="C953" t="s">
        <v>170</v>
      </c>
      <c r="D953" t="s">
        <v>171</v>
      </c>
      <c r="E953" t="s">
        <v>15</v>
      </c>
      <c r="F953" t="s">
        <v>72</v>
      </c>
      <c r="G953" t="s">
        <v>183</v>
      </c>
      <c r="H953" t="s">
        <v>184</v>
      </c>
      <c r="I953" t="s">
        <v>111</v>
      </c>
      <c r="J953">
        <v>3</v>
      </c>
      <c r="K953">
        <v>180</v>
      </c>
      <c r="L953" t="s">
        <v>9</v>
      </c>
      <c r="M953" t="s">
        <v>58</v>
      </c>
      <c r="N953">
        <f t="shared" si="14"/>
        <v>540</v>
      </c>
    </row>
    <row r="954" spans="1:14" x14ac:dyDescent="0.3">
      <c r="A954" t="s">
        <v>1270</v>
      </c>
      <c r="B954" s="4">
        <v>46208</v>
      </c>
      <c r="C954" t="s">
        <v>227</v>
      </c>
      <c r="D954" t="s">
        <v>228</v>
      </c>
      <c r="E954" t="s">
        <v>1</v>
      </c>
      <c r="F954" t="s">
        <v>90</v>
      </c>
      <c r="G954" t="s">
        <v>136</v>
      </c>
      <c r="H954" t="s">
        <v>137</v>
      </c>
      <c r="I954" t="s">
        <v>111</v>
      </c>
      <c r="J954">
        <v>10</v>
      </c>
      <c r="K954">
        <v>85</v>
      </c>
      <c r="L954" t="s">
        <v>4</v>
      </c>
      <c r="M954" t="s">
        <v>105</v>
      </c>
      <c r="N954">
        <f t="shared" si="14"/>
        <v>850</v>
      </c>
    </row>
    <row r="955" spans="1:14" x14ac:dyDescent="0.3">
      <c r="A955" t="s">
        <v>1271</v>
      </c>
      <c r="B955" s="4">
        <v>46188</v>
      </c>
      <c r="C955" t="s">
        <v>385</v>
      </c>
      <c r="D955" t="s">
        <v>386</v>
      </c>
      <c r="E955" t="s">
        <v>15</v>
      </c>
      <c r="F955" t="s">
        <v>48</v>
      </c>
      <c r="G955" t="s">
        <v>49</v>
      </c>
      <c r="H955" t="s">
        <v>50</v>
      </c>
      <c r="I955" t="s">
        <v>51</v>
      </c>
      <c r="J955">
        <v>1</v>
      </c>
      <c r="K955">
        <v>99.75</v>
      </c>
      <c r="L955" t="s">
        <v>4</v>
      </c>
      <c r="M955" t="s">
        <v>58</v>
      </c>
      <c r="N955">
        <f t="shared" si="14"/>
        <v>99.75</v>
      </c>
    </row>
    <row r="956" spans="1:14" x14ac:dyDescent="0.3">
      <c r="A956" t="s">
        <v>1272</v>
      </c>
      <c r="B956" s="4">
        <v>46038</v>
      </c>
      <c r="C956" t="s">
        <v>466</v>
      </c>
      <c r="D956" t="s">
        <v>147</v>
      </c>
      <c r="E956" t="s">
        <v>10</v>
      </c>
      <c r="F956" t="s">
        <v>48</v>
      </c>
      <c r="G956" t="s">
        <v>61</v>
      </c>
      <c r="H956" t="s">
        <v>62</v>
      </c>
      <c r="I956" t="s">
        <v>63</v>
      </c>
      <c r="J956">
        <v>1</v>
      </c>
      <c r="K956">
        <v>110</v>
      </c>
      <c r="L956" t="s">
        <v>4</v>
      </c>
      <c r="M956" t="s">
        <v>58</v>
      </c>
      <c r="N956">
        <f t="shared" si="14"/>
        <v>110</v>
      </c>
    </row>
    <row r="957" spans="1:14" x14ac:dyDescent="0.3">
      <c r="A957" t="s">
        <v>1273</v>
      </c>
      <c r="B957" s="4">
        <v>46141</v>
      </c>
      <c r="C957" t="s">
        <v>361</v>
      </c>
      <c r="D957" t="s">
        <v>362</v>
      </c>
      <c r="E957" t="s">
        <v>15</v>
      </c>
      <c r="F957" t="s">
        <v>48</v>
      </c>
      <c r="G957" t="s">
        <v>84</v>
      </c>
      <c r="H957" t="s">
        <v>85</v>
      </c>
      <c r="I957" t="s">
        <v>51</v>
      </c>
      <c r="J957">
        <v>6</v>
      </c>
      <c r="K957">
        <v>798</v>
      </c>
      <c r="L957" t="s">
        <v>9</v>
      </c>
      <c r="M957" t="s">
        <v>52</v>
      </c>
      <c r="N957">
        <f t="shared" si="14"/>
        <v>4788</v>
      </c>
    </row>
    <row r="958" spans="1:14" x14ac:dyDescent="0.3">
      <c r="A958" t="s">
        <v>1274</v>
      </c>
      <c r="B958" s="4">
        <v>46033</v>
      </c>
      <c r="C958" t="s">
        <v>54</v>
      </c>
      <c r="D958" t="s">
        <v>55</v>
      </c>
      <c r="E958" t="s">
        <v>1</v>
      </c>
      <c r="F958" t="s">
        <v>48</v>
      </c>
      <c r="G958" t="s">
        <v>183</v>
      </c>
      <c r="H958" t="s">
        <v>184</v>
      </c>
      <c r="I958" t="s">
        <v>111</v>
      </c>
      <c r="J958">
        <v>3</v>
      </c>
      <c r="K958">
        <v>180</v>
      </c>
      <c r="L958" t="s">
        <v>2</v>
      </c>
      <c r="M958" t="s">
        <v>58</v>
      </c>
      <c r="N958">
        <f t="shared" si="14"/>
        <v>540</v>
      </c>
    </row>
    <row r="959" spans="1:14" x14ac:dyDescent="0.3">
      <c r="A959" t="s">
        <v>1275</v>
      </c>
      <c r="B959" s="4">
        <v>46086</v>
      </c>
      <c r="C959" t="s">
        <v>741</v>
      </c>
      <c r="D959" t="s">
        <v>159</v>
      </c>
      <c r="E959" t="s">
        <v>10</v>
      </c>
      <c r="F959" t="s">
        <v>48</v>
      </c>
      <c r="G959" t="s">
        <v>163</v>
      </c>
      <c r="H959" t="s">
        <v>164</v>
      </c>
      <c r="I959" t="s">
        <v>111</v>
      </c>
      <c r="J959">
        <v>3</v>
      </c>
      <c r="K959">
        <v>240</v>
      </c>
      <c r="L959" t="s">
        <v>14</v>
      </c>
      <c r="M959" t="s">
        <v>52</v>
      </c>
      <c r="N959">
        <f t="shared" si="14"/>
        <v>720</v>
      </c>
    </row>
    <row r="960" spans="1:14" x14ac:dyDescent="0.3">
      <c r="A960" t="s">
        <v>1276</v>
      </c>
      <c r="B960" s="4">
        <v>46255</v>
      </c>
      <c r="C960" t="s">
        <v>310</v>
      </c>
      <c r="D960" t="s">
        <v>311</v>
      </c>
      <c r="E960" t="s">
        <v>19</v>
      </c>
      <c r="F960" t="s">
        <v>72</v>
      </c>
      <c r="G960" t="s">
        <v>163</v>
      </c>
      <c r="H960" t="s">
        <v>164</v>
      </c>
      <c r="I960" t="s">
        <v>111</v>
      </c>
      <c r="J960">
        <v>1</v>
      </c>
      <c r="K960">
        <v>228</v>
      </c>
      <c r="L960" t="s">
        <v>4</v>
      </c>
      <c r="M960" t="s">
        <v>52</v>
      </c>
      <c r="N960">
        <f t="shared" si="14"/>
        <v>228</v>
      </c>
    </row>
    <row r="961" spans="1:14" x14ac:dyDescent="0.3">
      <c r="A961" t="s">
        <v>1277</v>
      </c>
      <c r="B961" s="4">
        <v>46233</v>
      </c>
      <c r="C961" t="s">
        <v>332</v>
      </c>
      <c r="D961" t="s">
        <v>333</v>
      </c>
      <c r="E961" t="s">
        <v>1</v>
      </c>
      <c r="F961" t="s">
        <v>72</v>
      </c>
      <c r="G961" t="s">
        <v>183</v>
      </c>
      <c r="H961" t="s">
        <v>184</v>
      </c>
      <c r="I961" t="s">
        <v>111</v>
      </c>
      <c r="J961">
        <v>4</v>
      </c>
      <c r="K961">
        <v>171</v>
      </c>
      <c r="L961" t="s">
        <v>4</v>
      </c>
      <c r="M961" t="s">
        <v>52</v>
      </c>
      <c r="N961">
        <f t="shared" si="14"/>
        <v>684</v>
      </c>
    </row>
    <row r="962" spans="1:14" x14ac:dyDescent="0.3">
      <c r="A962" t="s">
        <v>1278</v>
      </c>
      <c r="B962" s="4">
        <v>46133</v>
      </c>
      <c r="C962" t="s">
        <v>385</v>
      </c>
      <c r="D962" t="s">
        <v>386</v>
      </c>
      <c r="E962" t="s">
        <v>15</v>
      </c>
      <c r="F962" t="s">
        <v>48</v>
      </c>
      <c r="G962" t="s">
        <v>79</v>
      </c>
      <c r="H962" t="s">
        <v>11</v>
      </c>
      <c r="I962" t="s">
        <v>57</v>
      </c>
      <c r="J962">
        <v>1</v>
      </c>
      <c r="K962">
        <v>5200</v>
      </c>
      <c r="L962" t="s">
        <v>7</v>
      </c>
      <c r="M962" t="s">
        <v>58</v>
      </c>
      <c r="N962">
        <f t="shared" si="14"/>
        <v>5200</v>
      </c>
    </row>
    <row r="963" spans="1:14" x14ac:dyDescent="0.3">
      <c r="A963" t="s">
        <v>1279</v>
      </c>
      <c r="B963" s="4">
        <v>46059</v>
      </c>
      <c r="C963" t="s">
        <v>394</v>
      </c>
      <c r="D963" t="s">
        <v>395</v>
      </c>
      <c r="E963" t="s">
        <v>15</v>
      </c>
      <c r="F963" t="s">
        <v>48</v>
      </c>
      <c r="G963" t="s">
        <v>49</v>
      </c>
      <c r="H963" t="s">
        <v>50</v>
      </c>
      <c r="I963" t="s">
        <v>51</v>
      </c>
      <c r="J963">
        <v>1</v>
      </c>
      <c r="K963">
        <v>95</v>
      </c>
      <c r="L963" t="s">
        <v>14</v>
      </c>
      <c r="M963" t="s">
        <v>52</v>
      </c>
      <c r="N963">
        <f t="shared" ref="N963:N1001" si="15">J963*K963</f>
        <v>95</v>
      </c>
    </row>
    <row r="964" spans="1:14" x14ac:dyDescent="0.3">
      <c r="A964" t="s">
        <v>1280</v>
      </c>
      <c r="B964" s="4">
        <v>46054</v>
      </c>
      <c r="C964" t="s">
        <v>561</v>
      </c>
      <c r="D964" t="s">
        <v>562</v>
      </c>
      <c r="E964" t="s">
        <v>15</v>
      </c>
      <c r="F964" t="s">
        <v>90</v>
      </c>
      <c r="G964" t="s">
        <v>183</v>
      </c>
      <c r="H964" t="s">
        <v>184</v>
      </c>
      <c r="I964" t="s">
        <v>111</v>
      </c>
      <c r="J964">
        <v>1</v>
      </c>
      <c r="K964">
        <v>180</v>
      </c>
      <c r="L964" t="s">
        <v>9</v>
      </c>
      <c r="M964" t="s">
        <v>80</v>
      </c>
      <c r="N964">
        <f t="shared" si="15"/>
        <v>180</v>
      </c>
    </row>
    <row r="965" spans="1:14" x14ac:dyDescent="0.3">
      <c r="A965" t="s">
        <v>1281</v>
      </c>
      <c r="B965" s="4">
        <v>46136</v>
      </c>
      <c r="C965" t="s">
        <v>293</v>
      </c>
      <c r="D965" t="s">
        <v>1282</v>
      </c>
      <c r="E965" t="s">
        <v>19</v>
      </c>
      <c r="F965" t="s">
        <v>90</v>
      </c>
      <c r="G965" t="s">
        <v>123</v>
      </c>
      <c r="H965" t="s">
        <v>124</v>
      </c>
      <c r="I965" t="s">
        <v>111</v>
      </c>
      <c r="J965">
        <v>1</v>
      </c>
      <c r="K965">
        <v>168</v>
      </c>
      <c r="L965" t="s">
        <v>14</v>
      </c>
      <c r="M965" t="s">
        <v>52</v>
      </c>
      <c r="N965">
        <f t="shared" si="15"/>
        <v>168</v>
      </c>
    </row>
    <row r="966" spans="1:14" x14ac:dyDescent="0.3">
      <c r="A966" t="s">
        <v>1283</v>
      </c>
      <c r="B966" s="4">
        <v>46223</v>
      </c>
      <c r="C966" t="s">
        <v>230</v>
      </c>
      <c r="D966" t="s">
        <v>231</v>
      </c>
      <c r="E966" t="s">
        <v>1</v>
      </c>
      <c r="F966" t="s">
        <v>48</v>
      </c>
      <c r="G966" t="s">
        <v>109</v>
      </c>
      <c r="H966" t="s">
        <v>110</v>
      </c>
      <c r="I966" t="s">
        <v>111</v>
      </c>
      <c r="J966">
        <v>1</v>
      </c>
      <c r="K966">
        <v>320</v>
      </c>
      <c r="L966" t="s">
        <v>14</v>
      </c>
      <c r="M966" t="s">
        <v>58</v>
      </c>
      <c r="N966">
        <f t="shared" si="15"/>
        <v>320</v>
      </c>
    </row>
    <row r="967" spans="1:14" x14ac:dyDescent="0.3">
      <c r="A967" t="s">
        <v>1284</v>
      </c>
      <c r="B967" s="4">
        <v>46046</v>
      </c>
      <c r="C967" t="s">
        <v>253</v>
      </c>
      <c r="D967" t="s">
        <v>254</v>
      </c>
      <c r="E967" t="s">
        <v>6</v>
      </c>
      <c r="F967" t="s">
        <v>72</v>
      </c>
      <c r="G967" t="s">
        <v>123</v>
      </c>
      <c r="H967" t="s">
        <v>124</v>
      </c>
      <c r="I967" t="s">
        <v>111</v>
      </c>
      <c r="J967">
        <v>3</v>
      </c>
      <c r="K967">
        <v>168</v>
      </c>
      <c r="L967" t="s">
        <v>7</v>
      </c>
      <c r="M967" t="s">
        <v>105</v>
      </c>
      <c r="N967">
        <f t="shared" si="15"/>
        <v>504</v>
      </c>
    </row>
    <row r="968" spans="1:14" x14ac:dyDescent="0.3">
      <c r="A968" t="s">
        <v>1285</v>
      </c>
      <c r="B968" s="4">
        <v>46201</v>
      </c>
      <c r="C968" t="s">
        <v>873</v>
      </c>
      <c r="D968" t="s">
        <v>5</v>
      </c>
      <c r="E968" t="s">
        <v>15</v>
      </c>
      <c r="F968" t="s">
        <v>90</v>
      </c>
      <c r="G968" t="s">
        <v>205</v>
      </c>
      <c r="H968" t="s">
        <v>206</v>
      </c>
      <c r="I968" t="s">
        <v>51</v>
      </c>
      <c r="J968">
        <v>1</v>
      </c>
      <c r="K968">
        <v>590</v>
      </c>
      <c r="L968" t="s">
        <v>2</v>
      </c>
      <c r="M968" t="s">
        <v>80</v>
      </c>
      <c r="N968">
        <f t="shared" si="15"/>
        <v>590</v>
      </c>
    </row>
    <row r="969" spans="1:14" x14ac:dyDescent="0.3">
      <c r="A969" t="s">
        <v>1286</v>
      </c>
      <c r="B969" s="4">
        <v>46129</v>
      </c>
      <c r="C969" t="s">
        <v>841</v>
      </c>
      <c r="D969" t="s">
        <v>842</v>
      </c>
      <c r="E969" t="s">
        <v>19</v>
      </c>
      <c r="F969" t="s">
        <v>48</v>
      </c>
      <c r="G969" t="s">
        <v>73</v>
      </c>
      <c r="H969" t="s">
        <v>74</v>
      </c>
      <c r="I969" t="s">
        <v>75</v>
      </c>
      <c r="J969">
        <v>1</v>
      </c>
      <c r="K969">
        <v>420</v>
      </c>
      <c r="L969" t="s">
        <v>17</v>
      </c>
      <c r="M969" t="s">
        <v>58</v>
      </c>
      <c r="N969">
        <f t="shared" si="15"/>
        <v>420</v>
      </c>
    </row>
    <row r="970" spans="1:14" x14ac:dyDescent="0.3">
      <c r="A970" t="s">
        <v>1287</v>
      </c>
      <c r="B970" s="4">
        <v>46207</v>
      </c>
      <c r="C970" t="s">
        <v>93</v>
      </c>
      <c r="D970" t="s">
        <v>1288</v>
      </c>
      <c r="E970" t="s">
        <v>15</v>
      </c>
      <c r="F970" t="s">
        <v>48</v>
      </c>
      <c r="G970" t="s">
        <v>123</v>
      </c>
      <c r="H970" t="s">
        <v>124</v>
      </c>
      <c r="I970" t="s">
        <v>111</v>
      </c>
      <c r="J970">
        <v>2</v>
      </c>
      <c r="K970">
        <v>152</v>
      </c>
      <c r="L970" t="s">
        <v>2</v>
      </c>
      <c r="M970" t="s">
        <v>80</v>
      </c>
      <c r="N970">
        <f t="shared" si="15"/>
        <v>304</v>
      </c>
    </row>
    <row r="971" spans="1:14" x14ac:dyDescent="0.3">
      <c r="A971" t="s">
        <v>1289</v>
      </c>
      <c r="B971" s="4">
        <v>46025</v>
      </c>
      <c r="C971" t="s">
        <v>492</v>
      </c>
      <c r="D971" t="s">
        <v>493</v>
      </c>
      <c r="E971" t="s">
        <v>6</v>
      </c>
      <c r="F971" t="s">
        <v>72</v>
      </c>
      <c r="G971" t="s">
        <v>95</v>
      </c>
      <c r="H971" t="s">
        <v>96</v>
      </c>
      <c r="I971" t="s">
        <v>75</v>
      </c>
      <c r="J971">
        <v>2</v>
      </c>
      <c r="K971">
        <v>650</v>
      </c>
      <c r="L971" t="s">
        <v>14</v>
      </c>
      <c r="M971" t="s">
        <v>58</v>
      </c>
      <c r="N971">
        <f t="shared" si="15"/>
        <v>1300</v>
      </c>
    </row>
    <row r="972" spans="1:14" x14ac:dyDescent="0.3">
      <c r="A972" t="s">
        <v>1290</v>
      </c>
      <c r="B972" s="4">
        <v>46244</v>
      </c>
      <c r="C972" t="s">
        <v>950</v>
      </c>
      <c r="D972" t="s">
        <v>951</v>
      </c>
      <c r="E972" t="s">
        <v>15</v>
      </c>
      <c r="F972" t="s">
        <v>72</v>
      </c>
      <c r="G972" t="s">
        <v>201</v>
      </c>
      <c r="H972" t="s">
        <v>202</v>
      </c>
      <c r="I972" t="s">
        <v>63</v>
      </c>
      <c r="J972">
        <v>4</v>
      </c>
      <c r="K972">
        <v>504</v>
      </c>
      <c r="L972" t="s">
        <v>17</v>
      </c>
      <c r="M972" t="s">
        <v>52</v>
      </c>
      <c r="N972">
        <f t="shared" si="15"/>
        <v>2016</v>
      </c>
    </row>
    <row r="973" spans="1:14" x14ac:dyDescent="0.3">
      <c r="A973" t="s">
        <v>1291</v>
      </c>
      <c r="B973" s="4">
        <v>46094</v>
      </c>
      <c r="C973" t="s">
        <v>288</v>
      </c>
      <c r="D973" t="s">
        <v>289</v>
      </c>
      <c r="E973" t="s">
        <v>18</v>
      </c>
      <c r="F973" t="s">
        <v>90</v>
      </c>
      <c r="G973" t="s">
        <v>79</v>
      </c>
      <c r="H973" t="s">
        <v>11</v>
      </c>
      <c r="I973" t="s">
        <v>57</v>
      </c>
      <c r="J973">
        <v>1</v>
      </c>
      <c r="K973">
        <v>4940</v>
      </c>
      <c r="L973" t="s">
        <v>9</v>
      </c>
      <c r="M973" t="s">
        <v>105</v>
      </c>
      <c r="N973">
        <f t="shared" si="15"/>
        <v>4940</v>
      </c>
    </row>
    <row r="974" spans="1:14" x14ac:dyDescent="0.3">
      <c r="A974" t="s">
        <v>1292</v>
      </c>
      <c r="B974" s="4">
        <v>46064</v>
      </c>
      <c r="C974" t="s">
        <v>215</v>
      </c>
      <c r="D974" t="s">
        <v>12</v>
      </c>
      <c r="E974" t="s">
        <v>10</v>
      </c>
      <c r="F974" t="s">
        <v>72</v>
      </c>
      <c r="G974" t="s">
        <v>123</v>
      </c>
      <c r="H974" t="s">
        <v>124</v>
      </c>
      <c r="I974" t="s">
        <v>111</v>
      </c>
      <c r="J974">
        <v>3</v>
      </c>
      <c r="K974">
        <v>152</v>
      </c>
      <c r="L974" t="s">
        <v>14</v>
      </c>
      <c r="M974" t="s">
        <v>80</v>
      </c>
      <c r="N974">
        <f t="shared" si="15"/>
        <v>456</v>
      </c>
    </row>
    <row r="975" spans="1:14" x14ac:dyDescent="0.3">
      <c r="A975" t="s">
        <v>1293</v>
      </c>
      <c r="B975" s="4">
        <v>46135</v>
      </c>
      <c r="C975" t="s">
        <v>399</v>
      </c>
      <c r="D975" t="s">
        <v>400</v>
      </c>
      <c r="E975" t="s">
        <v>6</v>
      </c>
      <c r="F975" t="s">
        <v>72</v>
      </c>
      <c r="G975" t="s">
        <v>79</v>
      </c>
      <c r="H975" t="s">
        <v>11</v>
      </c>
      <c r="I975" t="s">
        <v>57</v>
      </c>
      <c r="J975">
        <v>1</v>
      </c>
      <c r="K975">
        <v>5460</v>
      </c>
      <c r="L975" t="s">
        <v>4</v>
      </c>
      <c r="M975" t="s">
        <v>58</v>
      </c>
      <c r="N975">
        <f t="shared" si="15"/>
        <v>5460</v>
      </c>
    </row>
    <row r="976" spans="1:14" x14ac:dyDescent="0.3">
      <c r="A976" t="s">
        <v>1294</v>
      </c>
      <c r="B976" s="4">
        <v>46161</v>
      </c>
      <c r="C976" t="s">
        <v>667</v>
      </c>
      <c r="D976" t="s">
        <v>668</v>
      </c>
      <c r="E976" t="s">
        <v>15</v>
      </c>
      <c r="F976" t="s">
        <v>72</v>
      </c>
      <c r="G976" t="s">
        <v>163</v>
      </c>
      <c r="H976" t="s">
        <v>164</v>
      </c>
      <c r="I976" t="s">
        <v>111</v>
      </c>
      <c r="J976">
        <v>1</v>
      </c>
      <c r="K976">
        <v>228</v>
      </c>
      <c r="L976" t="s">
        <v>4</v>
      </c>
      <c r="M976" t="s">
        <v>58</v>
      </c>
      <c r="N976">
        <f t="shared" si="15"/>
        <v>228</v>
      </c>
    </row>
    <row r="977" spans="1:14" x14ac:dyDescent="0.3">
      <c r="A977" t="s">
        <v>1295</v>
      </c>
      <c r="B977" s="4">
        <v>46208</v>
      </c>
      <c r="C977" t="s">
        <v>260</v>
      </c>
      <c r="D977" t="s">
        <v>261</v>
      </c>
      <c r="E977" t="s">
        <v>1</v>
      </c>
      <c r="F977" t="s">
        <v>48</v>
      </c>
      <c r="G977" t="s">
        <v>56</v>
      </c>
      <c r="H977" t="s">
        <v>3</v>
      </c>
      <c r="I977" t="s">
        <v>57</v>
      </c>
      <c r="J977">
        <v>2</v>
      </c>
      <c r="K977">
        <v>8610</v>
      </c>
      <c r="L977" t="s">
        <v>7</v>
      </c>
      <c r="M977" t="s">
        <v>105</v>
      </c>
      <c r="N977">
        <f t="shared" si="15"/>
        <v>17220</v>
      </c>
    </row>
    <row r="978" spans="1:14" x14ac:dyDescent="0.3">
      <c r="A978" t="s">
        <v>1296</v>
      </c>
      <c r="B978" s="4">
        <v>46082</v>
      </c>
      <c r="C978" t="s">
        <v>189</v>
      </c>
      <c r="D978" t="s">
        <v>190</v>
      </c>
      <c r="E978" t="s">
        <v>6</v>
      </c>
      <c r="F978" t="s">
        <v>72</v>
      </c>
      <c r="G978" t="s">
        <v>61</v>
      </c>
      <c r="H978" t="s">
        <v>62</v>
      </c>
      <c r="I978" t="s">
        <v>63</v>
      </c>
      <c r="J978">
        <v>4</v>
      </c>
      <c r="K978">
        <v>110</v>
      </c>
      <c r="L978" t="s">
        <v>9</v>
      </c>
      <c r="M978" t="s">
        <v>58</v>
      </c>
      <c r="N978">
        <f t="shared" si="15"/>
        <v>440</v>
      </c>
    </row>
    <row r="979" spans="1:14" x14ac:dyDescent="0.3">
      <c r="A979" t="s">
        <v>1297</v>
      </c>
      <c r="B979" s="4">
        <v>46246</v>
      </c>
      <c r="C979" t="s">
        <v>427</v>
      </c>
      <c r="D979" t="s">
        <v>428</v>
      </c>
      <c r="E979" t="s">
        <v>1</v>
      </c>
      <c r="F979" t="s">
        <v>48</v>
      </c>
      <c r="G979" t="s">
        <v>95</v>
      </c>
      <c r="H979" t="s">
        <v>96</v>
      </c>
      <c r="I979" t="s">
        <v>75</v>
      </c>
      <c r="J979">
        <v>1</v>
      </c>
      <c r="K979">
        <v>650</v>
      </c>
      <c r="L979" t="s">
        <v>14</v>
      </c>
      <c r="M979" t="s">
        <v>105</v>
      </c>
      <c r="N979">
        <f t="shared" si="15"/>
        <v>650</v>
      </c>
    </row>
    <row r="980" spans="1:14" x14ac:dyDescent="0.3">
      <c r="A980" t="s">
        <v>1298</v>
      </c>
      <c r="B980" s="4">
        <v>46037</v>
      </c>
      <c r="C980" t="s">
        <v>591</v>
      </c>
      <c r="D980" t="s">
        <v>592</v>
      </c>
      <c r="E980" t="s">
        <v>15</v>
      </c>
      <c r="F980" t="s">
        <v>72</v>
      </c>
      <c r="G980" t="s">
        <v>205</v>
      </c>
      <c r="H980" t="s">
        <v>206</v>
      </c>
      <c r="I980" t="s">
        <v>51</v>
      </c>
      <c r="J980">
        <v>5</v>
      </c>
      <c r="K980">
        <v>590</v>
      </c>
      <c r="L980" t="s">
        <v>9</v>
      </c>
      <c r="M980" t="s">
        <v>105</v>
      </c>
      <c r="N980">
        <f t="shared" si="15"/>
        <v>2950</v>
      </c>
    </row>
    <row r="981" spans="1:14" x14ac:dyDescent="0.3">
      <c r="A981" t="s">
        <v>1299</v>
      </c>
      <c r="B981" s="4">
        <v>46119</v>
      </c>
      <c r="C981" t="s">
        <v>60</v>
      </c>
      <c r="D981" t="s">
        <v>5</v>
      </c>
      <c r="E981" t="s">
        <v>6</v>
      </c>
      <c r="F981" t="s">
        <v>276</v>
      </c>
      <c r="G981" t="s">
        <v>109</v>
      </c>
      <c r="H981" t="s">
        <v>110</v>
      </c>
      <c r="I981" t="s">
        <v>111</v>
      </c>
      <c r="J981">
        <v>1</v>
      </c>
      <c r="K981">
        <v>320</v>
      </c>
      <c r="L981" t="s">
        <v>2</v>
      </c>
      <c r="M981" t="s">
        <v>80</v>
      </c>
      <c r="N981">
        <f t="shared" si="15"/>
        <v>320</v>
      </c>
    </row>
    <row r="982" spans="1:14" x14ac:dyDescent="0.3">
      <c r="A982" t="s">
        <v>1300</v>
      </c>
      <c r="B982" s="4">
        <v>46109</v>
      </c>
      <c r="C982" t="s">
        <v>411</v>
      </c>
      <c r="D982" t="s">
        <v>324</v>
      </c>
      <c r="E982" t="s">
        <v>19</v>
      </c>
      <c r="F982" t="s">
        <v>48</v>
      </c>
      <c r="G982" t="s">
        <v>79</v>
      </c>
      <c r="H982" t="s">
        <v>11</v>
      </c>
      <c r="I982" t="s">
        <v>57</v>
      </c>
      <c r="J982">
        <v>1</v>
      </c>
      <c r="K982">
        <v>5460</v>
      </c>
      <c r="L982" t="s">
        <v>14</v>
      </c>
      <c r="M982" t="s">
        <v>80</v>
      </c>
      <c r="N982">
        <f t="shared" si="15"/>
        <v>5460</v>
      </c>
    </row>
    <row r="983" spans="1:14" x14ac:dyDescent="0.3">
      <c r="A983" t="s">
        <v>1301</v>
      </c>
      <c r="B983" s="4">
        <v>46242</v>
      </c>
      <c r="C983" t="s">
        <v>140</v>
      </c>
      <c r="D983" t="s">
        <v>141</v>
      </c>
      <c r="E983" t="s">
        <v>1</v>
      </c>
      <c r="F983" t="s">
        <v>48</v>
      </c>
      <c r="G983" t="s">
        <v>67</v>
      </c>
      <c r="H983" t="s">
        <v>8</v>
      </c>
      <c r="I983" t="s">
        <v>68</v>
      </c>
      <c r="J983">
        <v>2</v>
      </c>
      <c r="K983">
        <v>1450</v>
      </c>
      <c r="L983" t="s">
        <v>9</v>
      </c>
      <c r="M983" t="s">
        <v>80</v>
      </c>
      <c r="N983">
        <f t="shared" si="15"/>
        <v>2900</v>
      </c>
    </row>
    <row r="984" spans="1:14" x14ac:dyDescent="0.3">
      <c r="A984" t="s">
        <v>1302</v>
      </c>
      <c r="B984" s="4">
        <v>46178</v>
      </c>
      <c r="C984" t="s">
        <v>186</v>
      </c>
      <c r="D984" t="s">
        <v>187</v>
      </c>
      <c r="E984" t="s">
        <v>6</v>
      </c>
      <c r="F984" t="s">
        <v>72</v>
      </c>
      <c r="G984" t="s">
        <v>239</v>
      </c>
      <c r="H984" t="s">
        <v>240</v>
      </c>
      <c r="I984" t="s">
        <v>63</v>
      </c>
      <c r="J984">
        <v>1</v>
      </c>
      <c r="K984">
        <v>756</v>
      </c>
      <c r="L984" t="s">
        <v>9</v>
      </c>
      <c r="M984" t="s">
        <v>52</v>
      </c>
      <c r="N984">
        <f t="shared" si="15"/>
        <v>756</v>
      </c>
    </row>
    <row r="985" spans="1:14" x14ac:dyDescent="0.3">
      <c r="A985" t="s">
        <v>1303</v>
      </c>
      <c r="B985" s="4">
        <v>46243</v>
      </c>
      <c r="C985" t="s">
        <v>126</v>
      </c>
      <c r="D985" t="s">
        <v>127</v>
      </c>
      <c r="E985" t="s">
        <v>15</v>
      </c>
      <c r="F985" t="s">
        <v>72</v>
      </c>
      <c r="G985" t="s">
        <v>95</v>
      </c>
      <c r="H985" t="s">
        <v>96</v>
      </c>
      <c r="I985" t="s">
        <v>75</v>
      </c>
      <c r="J985">
        <v>2</v>
      </c>
      <c r="K985">
        <v>650</v>
      </c>
      <c r="L985" t="s">
        <v>17</v>
      </c>
      <c r="M985" t="s">
        <v>105</v>
      </c>
      <c r="N985">
        <f t="shared" si="15"/>
        <v>1300</v>
      </c>
    </row>
    <row r="986" spans="1:14" x14ac:dyDescent="0.3">
      <c r="A986" t="s">
        <v>1304</v>
      </c>
      <c r="B986" s="4">
        <v>46095</v>
      </c>
      <c r="C986" t="s">
        <v>149</v>
      </c>
      <c r="D986" t="s">
        <v>150</v>
      </c>
      <c r="E986" t="s">
        <v>6</v>
      </c>
      <c r="F986" t="s">
        <v>72</v>
      </c>
      <c r="G986" t="s">
        <v>73</v>
      </c>
      <c r="H986" t="s">
        <v>74</v>
      </c>
      <c r="I986" t="s">
        <v>75</v>
      </c>
      <c r="J986">
        <v>1</v>
      </c>
      <c r="K986">
        <v>420</v>
      </c>
      <c r="L986" t="s">
        <v>2</v>
      </c>
      <c r="M986" t="s">
        <v>52</v>
      </c>
      <c r="N986">
        <f t="shared" si="15"/>
        <v>420</v>
      </c>
    </row>
    <row r="987" spans="1:14" x14ac:dyDescent="0.3">
      <c r="A987" t="s">
        <v>1305</v>
      </c>
      <c r="B987" s="4">
        <v>46135</v>
      </c>
      <c r="C987" t="s">
        <v>244</v>
      </c>
      <c r="D987" t="s">
        <v>245</v>
      </c>
      <c r="E987" t="s">
        <v>18</v>
      </c>
      <c r="F987" t="s">
        <v>90</v>
      </c>
      <c r="G987" t="s">
        <v>61</v>
      </c>
      <c r="H987" t="s">
        <v>62</v>
      </c>
      <c r="I987" t="s">
        <v>63</v>
      </c>
      <c r="J987">
        <v>2</v>
      </c>
      <c r="K987">
        <v>115.5</v>
      </c>
      <c r="L987" t="s">
        <v>9</v>
      </c>
      <c r="M987" t="s">
        <v>58</v>
      </c>
      <c r="N987">
        <f t="shared" si="15"/>
        <v>231</v>
      </c>
    </row>
    <row r="988" spans="1:14" x14ac:dyDescent="0.3">
      <c r="A988" t="s">
        <v>1306</v>
      </c>
      <c r="B988" s="4">
        <v>46034</v>
      </c>
      <c r="C988" t="s">
        <v>161</v>
      </c>
      <c r="D988" t="s">
        <v>162</v>
      </c>
      <c r="E988" t="s">
        <v>10</v>
      </c>
      <c r="F988" t="s">
        <v>72</v>
      </c>
      <c r="G988" t="s">
        <v>163</v>
      </c>
      <c r="H988" t="s">
        <v>164</v>
      </c>
      <c r="I988" t="s">
        <v>111</v>
      </c>
      <c r="J988">
        <v>10</v>
      </c>
      <c r="K988">
        <v>252</v>
      </c>
      <c r="L988" t="s">
        <v>14</v>
      </c>
      <c r="M988" t="s">
        <v>105</v>
      </c>
      <c r="N988">
        <f t="shared" si="15"/>
        <v>2520</v>
      </c>
    </row>
    <row r="989" spans="1:14" x14ac:dyDescent="0.3">
      <c r="A989" t="s">
        <v>1307</v>
      </c>
      <c r="B989" s="4">
        <v>46146</v>
      </c>
      <c r="C989" t="s">
        <v>316</v>
      </c>
      <c r="D989" t="s">
        <v>317</v>
      </c>
      <c r="E989" t="s">
        <v>6</v>
      </c>
      <c r="F989" t="s">
        <v>72</v>
      </c>
      <c r="G989" t="s">
        <v>109</v>
      </c>
      <c r="H989" t="s">
        <v>110</v>
      </c>
      <c r="I989" t="s">
        <v>111</v>
      </c>
      <c r="J989">
        <v>4</v>
      </c>
      <c r="K989">
        <v>304</v>
      </c>
      <c r="L989" t="s">
        <v>4</v>
      </c>
      <c r="M989" t="s">
        <v>105</v>
      </c>
      <c r="N989">
        <f t="shared" si="15"/>
        <v>1216</v>
      </c>
    </row>
    <row r="990" spans="1:14" x14ac:dyDescent="0.3">
      <c r="A990" t="s">
        <v>1308</v>
      </c>
      <c r="B990" s="4">
        <v>46166</v>
      </c>
      <c r="C990" t="s">
        <v>427</v>
      </c>
      <c r="D990" t="s">
        <v>428</v>
      </c>
      <c r="E990" t="s">
        <v>1</v>
      </c>
      <c r="F990" t="s">
        <v>48</v>
      </c>
      <c r="G990" t="s">
        <v>183</v>
      </c>
      <c r="H990" t="s">
        <v>184</v>
      </c>
      <c r="I990" t="s">
        <v>111</v>
      </c>
      <c r="J990">
        <v>4</v>
      </c>
      <c r="K990">
        <v>180</v>
      </c>
      <c r="L990" t="s">
        <v>9</v>
      </c>
      <c r="M990" t="s">
        <v>52</v>
      </c>
      <c r="N990">
        <f t="shared" si="15"/>
        <v>720</v>
      </c>
    </row>
    <row r="991" spans="1:14" x14ac:dyDescent="0.3">
      <c r="A991" t="s">
        <v>1309</v>
      </c>
      <c r="B991" s="4">
        <v>46085</v>
      </c>
      <c r="C991" t="s">
        <v>433</v>
      </c>
      <c r="D991" t="s">
        <v>130</v>
      </c>
      <c r="E991" t="s">
        <v>10</v>
      </c>
      <c r="F991" t="s">
        <v>48</v>
      </c>
      <c r="G991" t="s">
        <v>239</v>
      </c>
      <c r="H991" t="s">
        <v>240</v>
      </c>
      <c r="I991" t="s">
        <v>63</v>
      </c>
      <c r="J991">
        <v>3</v>
      </c>
      <c r="K991">
        <v>684</v>
      </c>
      <c r="L991" t="s">
        <v>14</v>
      </c>
      <c r="M991" t="s">
        <v>105</v>
      </c>
      <c r="N991">
        <f t="shared" si="15"/>
        <v>2052</v>
      </c>
    </row>
    <row r="992" spans="1:14" x14ac:dyDescent="0.3">
      <c r="A992" t="s">
        <v>1310</v>
      </c>
      <c r="B992" s="4">
        <v>46065</v>
      </c>
      <c r="C992" t="s">
        <v>114</v>
      </c>
      <c r="D992" t="s">
        <v>115</v>
      </c>
      <c r="E992" t="s">
        <v>18</v>
      </c>
      <c r="F992" t="s">
        <v>72</v>
      </c>
      <c r="G992" t="s">
        <v>239</v>
      </c>
      <c r="H992" t="s">
        <v>240</v>
      </c>
      <c r="I992" t="s">
        <v>63</v>
      </c>
      <c r="J992">
        <v>3</v>
      </c>
      <c r="K992">
        <v>756</v>
      </c>
      <c r="L992" t="s">
        <v>2</v>
      </c>
      <c r="M992" t="s">
        <v>58</v>
      </c>
      <c r="N992">
        <f t="shared" si="15"/>
        <v>2268</v>
      </c>
    </row>
    <row r="993" spans="1:14" x14ac:dyDescent="0.3">
      <c r="A993" t="s">
        <v>1311</v>
      </c>
      <c r="B993" s="4">
        <v>46221</v>
      </c>
      <c r="C993" t="s">
        <v>178</v>
      </c>
      <c r="D993" t="s">
        <v>179</v>
      </c>
      <c r="E993" t="s">
        <v>10</v>
      </c>
      <c r="F993" t="s">
        <v>48</v>
      </c>
      <c r="G993" t="s">
        <v>73</v>
      </c>
      <c r="H993" t="s">
        <v>74</v>
      </c>
      <c r="I993" t="s">
        <v>75</v>
      </c>
      <c r="J993">
        <v>1</v>
      </c>
      <c r="K993">
        <v>420</v>
      </c>
      <c r="L993" t="s">
        <v>9</v>
      </c>
      <c r="M993" t="s">
        <v>80</v>
      </c>
      <c r="N993">
        <f t="shared" si="15"/>
        <v>420</v>
      </c>
    </row>
    <row r="994" spans="1:14" x14ac:dyDescent="0.3">
      <c r="A994" t="s">
        <v>1312</v>
      </c>
      <c r="B994" s="4">
        <v>46204</v>
      </c>
      <c r="C994" t="s">
        <v>310</v>
      </c>
      <c r="D994" t="s">
        <v>311</v>
      </c>
      <c r="E994" t="s">
        <v>19</v>
      </c>
      <c r="F994" t="s">
        <v>72</v>
      </c>
      <c r="G994" t="s">
        <v>73</v>
      </c>
      <c r="H994" t="s">
        <v>74</v>
      </c>
      <c r="I994" t="s">
        <v>75</v>
      </c>
      <c r="J994">
        <v>3</v>
      </c>
      <c r="K994">
        <v>420</v>
      </c>
      <c r="L994" t="s">
        <v>4</v>
      </c>
      <c r="M994" t="s">
        <v>80</v>
      </c>
      <c r="N994">
        <f t="shared" si="15"/>
        <v>1260</v>
      </c>
    </row>
    <row r="995" spans="1:14" x14ac:dyDescent="0.3">
      <c r="A995" t="s">
        <v>1313</v>
      </c>
      <c r="B995" s="4">
        <v>46099</v>
      </c>
      <c r="C995" t="s">
        <v>316</v>
      </c>
      <c r="D995" t="s">
        <v>317</v>
      </c>
      <c r="E995" t="s">
        <v>6</v>
      </c>
      <c r="F995" t="s">
        <v>72</v>
      </c>
      <c r="G995" t="s">
        <v>163</v>
      </c>
      <c r="H995" t="s">
        <v>164</v>
      </c>
      <c r="I995" t="s">
        <v>111</v>
      </c>
      <c r="J995">
        <v>2</v>
      </c>
      <c r="K995">
        <v>240</v>
      </c>
      <c r="L995" t="s">
        <v>2</v>
      </c>
      <c r="M995" t="s">
        <v>52</v>
      </c>
      <c r="N995">
        <f t="shared" si="15"/>
        <v>480</v>
      </c>
    </row>
    <row r="996" spans="1:14" x14ac:dyDescent="0.3">
      <c r="A996" t="s">
        <v>1314</v>
      </c>
      <c r="B996" s="4">
        <v>46182</v>
      </c>
      <c r="C996" t="s">
        <v>65</v>
      </c>
      <c r="D996" t="s">
        <v>66</v>
      </c>
      <c r="E996" t="s">
        <v>1</v>
      </c>
      <c r="F996" t="s">
        <v>48</v>
      </c>
      <c r="G996" t="s">
        <v>183</v>
      </c>
      <c r="H996" t="s">
        <v>184</v>
      </c>
      <c r="I996" t="s">
        <v>111</v>
      </c>
      <c r="J996">
        <v>5</v>
      </c>
      <c r="K996">
        <v>171</v>
      </c>
      <c r="L996" t="s">
        <v>17</v>
      </c>
      <c r="M996" t="s">
        <v>80</v>
      </c>
      <c r="N996">
        <f t="shared" si="15"/>
        <v>855</v>
      </c>
    </row>
    <row r="997" spans="1:14" x14ac:dyDescent="0.3">
      <c r="A997" t="s">
        <v>1315</v>
      </c>
      <c r="B997" s="4">
        <v>46052</v>
      </c>
      <c r="C997" t="s">
        <v>132</v>
      </c>
      <c r="D997" t="s">
        <v>20</v>
      </c>
      <c r="E997" t="s">
        <v>19</v>
      </c>
      <c r="F997" t="s">
        <v>90</v>
      </c>
      <c r="G997" t="s">
        <v>163</v>
      </c>
      <c r="H997" t="s">
        <v>164</v>
      </c>
      <c r="I997" t="s">
        <v>111</v>
      </c>
      <c r="J997">
        <v>2</v>
      </c>
      <c r="K997">
        <v>240</v>
      </c>
      <c r="L997" t="s">
        <v>17</v>
      </c>
      <c r="M997" t="s">
        <v>58</v>
      </c>
      <c r="N997">
        <f t="shared" si="15"/>
        <v>480</v>
      </c>
    </row>
    <row r="998" spans="1:14" x14ac:dyDescent="0.3">
      <c r="A998" t="s">
        <v>1316</v>
      </c>
      <c r="B998" s="4">
        <v>46068</v>
      </c>
      <c r="C998" t="s">
        <v>102</v>
      </c>
      <c r="D998" t="s">
        <v>103</v>
      </c>
      <c r="E998" t="s">
        <v>10</v>
      </c>
      <c r="F998" t="s">
        <v>90</v>
      </c>
      <c r="G998" t="s">
        <v>201</v>
      </c>
      <c r="H998" t="s">
        <v>202</v>
      </c>
      <c r="I998" t="s">
        <v>63</v>
      </c>
      <c r="J998">
        <v>3</v>
      </c>
      <c r="K998">
        <v>456</v>
      </c>
      <c r="L998" t="s">
        <v>17</v>
      </c>
      <c r="M998" t="s">
        <v>52</v>
      </c>
      <c r="N998">
        <f t="shared" si="15"/>
        <v>1368</v>
      </c>
    </row>
    <row r="999" spans="1:14" x14ac:dyDescent="0.3">
      <c r="A999" t="s">
        <v>1317</v>
      </c>
      <c r="B999" s="4">
        <v>46085</v>
      </c>
      <c r="C999" t="s">
        <v>140</v>
      </c>
      <c r="D999" t="s">
        <v>141</v>
      </c>
      <c r="E999" t="s">
        <v>1</v>
      </c>
      <c r="F999" t="s">
        <v>48</v>
      </c>
      <c r="G999" t="s">
        <v>61</v>
      </c>
      <c r="H999" t="s">
        <v>62</v>
      </c>
      <c r="I999" t="s">
        <v>63</v>
      </c>
      <c r="J999">
        <v>2</v>
      </c>
      <c r="K999">
        <v>110</v>
      </c>
      <c r="L999" t="s">
        <v>2</v>
      </c>
      <c r="M999" t="s">
        <v>52</v>
      </c>
      <c r="N999">
        <f t="shared" si="15"/>
        <v>220</v>
      </c>
    </row>
    <row r="1000" spans="1:14" x14ac:dyDescent="0.3">
      <c r="A1000" t="s">
        <v>1318</v>
      </c>
      <c r="B1000" s="4">
        <v>46106</v>
      </c>
      <c r="C1000" t="s">
        <v>143</v>
      </c>
      <c r="D1000" t="s">
        <v>144</v>
      </c>
      <c r="E1000" t="s">
        <v>15</v>
      </c>
      <c r="F1000" t="s">
        <v>48</v>
      </c>
      <c r="G1000" t="s">
        <v>56</v>
      </c>
      <c r="H1000" t="s">
        <v>3</v>
      </c>
      <c r="I1000" t="s">
        <v>57</v>
      </c>
      <c r="J1000">
        <v>2</v>
      </c>
      <c r="K1000">
        <v>8200</v>
      </c>
      <c r="L1000" t="s">
        <v>17</v>
      </c>
      <c r="M1000" t="s">
        <v>105</v>
      </c>
      <c r="N1000">
        <f t="shared" si="15"/>
        <v>16400</v>
      </c>
    </row>
    <row r="1001" spans="1:14" x14ac:dyDescent="0.3">
      <c r="A1001" t="s">
        <v>1319</v>
      </c>
      <c r="B1001" s="4">
        <v>46040</v>
      </c>
      <c r="C1001" t="s">
        <v>152</v>
      </c>
      <c r="D1001" t="s">
        <v>153</v>
      </c>
      <c r="E1001" t="s">
        <v>15</v>
      </c>
      <c r="F1001" t="s">
        <v>48</v>
      </c>
      <c r="G1001" t="s">
        <v>163</v>
      </c>
      <c r="H1001" t="s">
        <v>164</v>
      </c>
      <c r="I1001" t="s">
        <v>111</v>
      </c>
      <c r="J1001">
        <v>2</v>
      </c>
      <c r="K1001">
        <v>240</v>
      </c>
      <c r="L1001" t="s">
        <v>4</v>
      </c>
      <c r="M1001" t="s">
        <v>58</v>
      </c>
      <c r="N1001">
        <f t="shared" si="15"/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Beulah Assan</dc:creator>
  <cp:lastModifiedBy>Beulah Assan</cp:lastModifiedBy>
  <dcterms:created xsi:type="dcterms:W3CDTF">2026-09-26T11:43:30Z</dcterms:created>
  <dcterms:modified xsi:type="dcterms:W3CDTF">2026-10-02T14:30:57Z</dcterms:modified>
</cp:coreProperties>
</file>